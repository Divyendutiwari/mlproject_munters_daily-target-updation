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Summary" sheetId="1" r:id="rId4"/>
    <sheet state="visible" name="Step1 - 8 Bends" sheetId="2" r:id="rId5"/>
    <sheet state="visible" name="Step2 - 4 Bends" sheetId="3" r:id="rId6"/>
  </sheets>
  <definedNames/>
  <calcPr/>
</workbook>
</file>

<file path=xl/sharedStrings.xml><?xml version="1.0" encoding="utf-8"?>
<sst xmlns="http://schemas.openxmlformats.org/spreadsheetml/2006/main" count="250" uniqueCount="141">
  <si>
    <t>THERMAL PLATE BENDING — FINAL ANALYSIS  |  Part: Thermal Plate Bend</t>
  </si>
  <si>
    <t>⚠  18 MIN DISCUSSION WASTE + 14 MIN TOOL ARRANGEMENT (Step 1)  |  ~3 MIN WASTE (Step 2)  |  TOTAL RECOVERABLE: ~35 MINUTES  |  Root cause: Improper command &amp; broken job supply management</t>
  </si>
  <si>
    <t>PART A — AVERAGE TOTAL TIME BY SIZE  (Mean 8-Bend + Mean 4-Bend = Estimated Total Cycle Time per size)  │  * = Analyst estimate — size not observed in that step</t>
  </si>
  <si>
    <t>S.No.</t>
  </si>
  <si>
    <t>Size Category</t>
  </si>
  <si>
    <t>8-Bend Mean
(sec)</t>
  </si>
  <si>
    <t>8-Bend Mean
(mm:ss)</t>
  </si>
  <si>
    <t>4-Bend Mean
(sec)</t>
  </si>
  <si>
    <t>4-Bend Mean
(mm:ss)</t>
  </si>
  <si>
    <t>Total
(sec)</t>
  </si>
  <si>
    <t>Total
(mm:ss)</t>
  </si>
  <si>
    <t>8-Bend
Obs. Count</t>
  </si>
  <si>
    <t>4-Bend
Obs. Count</t>
  </si>
  <si>
    <t>Small</t>
  </si>
  <si>
    <t>1:10</t>
  </si>
  <si>
    <t>0:29</t>
  </si>
  <si>
    <t>1:39</t>
  </si>
  <si>
    <t>Medium</t>
  </si>
  <si>
    <t>1:21</t>
  </si>
  <si>
    <t>0:36</t>
  </si>
  <si>
    <t>1:57</t>
  </si>
  <si>
    <t>¥Large</t>
  </si>
  <si>
    <t>1:43</t>
  </si>
  <si>
    <t>1:00</t>
  </si>
  <si>
    <t>2:43</t>
  </si>
  <si>
    <t>Large</t>
  </si>
  <si>
    <t>1:48</t>
  </si>
  <si>
    <t>0:50</t>
  </si>
  <si>
    <t>2:38</t>
  </si>
  <si>
    <t>XLarge *</t>
  </si>
  <si>
    <t>2:36</t>
  </si>
  <si>
    <t>3:26</t>
  </si>
  <si>
    <t>Est.</t>
  </si>
  <si>
    <t>PART B — OVERALL STATISTICS (All sizes combined, irrespective of size)</t>
  </si>
  <si>
    <t>Metric</t>
  </si>
  <si>
    <t>8-Bend (sec)</t>
  </si>
  <si>
    <t>8-Bend (mm:ss)</t>
  </si>
  <si>
    <t>4-Bend (sec)</t>
  </si>
  <si>
    <t>4-Bend (mm:ss)</t>
  </si>
  <si>
    <t>Combined (sec)</t>
  </si>
  <si>
    <t>Combined (mm:ss)</t>
  </si>
  <si>
    <t>Mean</t>
  </si>
  <si>
    <t>1:30</t>
  </si>
  <si>
    <t>0:44</t>
  </si>
  <si>
    <t>2:14</t>
  </si>
  <si>
    <t>Median</t>
  </si>
  <si>
    <t>1:20</t>
  </si>
  <si>
    <t>0:45</t>
  </si>
  <si>
    <t>—</t>
  </si>
  <si>
    <t>Mode</t>
  </si>
  <si>
    <t>1:19</t>
  </si>
  <si>
    <t>Min</t>
  </si>
  <si>
    <t>1:01</t>
  </si>
  <si>
    <t>Max</t>
  </si>
  <si>
    <t>Count</t>
  </si>
  <si>
    <t>0:19</t>
  </si>
  <si>
    <t>0:07</t>
  </si>
  <si>
    <t>Total</t>
  </si>
  <si>
    <t>28:23</t>
  </si>
  <si>
    <t>5:11</t>
  </si>
  <si>
    <t>33:34</t>
  </si>
  <si>
    <t>🎯  PART C — WASTED TIME SUMMARY &amp; SET TARGET</t>
  </si>
  <si>
    <t>Category</t>
  </si>
  <si>
    <t>Time (sec)</t>
  </si>
  <si>
    <t>Time (mm:ss)</t>
  </si>
  <si>
    <t>Remarks</t>
  </si>
  <si>
    <t>Discussion waste — Step 1 (8-bend)</t>
  </si>
  <si>
    <t>18:00</t>
  </si>
  <si>
    <t>Noted in field book (circled): 18 minutes</t>
  </si>
  <si>
    <t>Tool arrangement — Step 1</t>
  </si>
  <si>
    <t>Noted in field book: 4 minutes</t>
  </si>
  <si>
    <t>Discussion waste — Step 2 (4-bend)</t>
  </si>
  <si>
    <t>3:00</t>
  </si>
  <si>
    <t>~3 minutes noted after Cycle VII</t>
  </si>
  <si>
    <t>TOTAL WASTED</t>
  </si>
  <si>
    <t>← All recoverable</t>
  </si>
  <si>
    <t>Current overall mean total (8+4)</t>
  </si>
  <si>
    <t>Mean 8-bend 1:30 + Mean 4-bend 0:44</t>
  </si>
  <si>
    <t>SET TARGET (if 0 waste achieved)</t>
  </si>
  <si>
    <t>2:01</t>
  </si>
  <si>
    <t>Conservative 10% improvement target — achievable with zero idle time</t>
  </si>
  <si>
    <t>THERMAL PLATES — STEP 1 — 8 BENDS  |  Part: Thermal Plate Bend</t>
  </si>
  <si>
    <t>⚠  18 MINUTES WASTED (noted in field book) + 4 MINUTES TOOL ARRANGEMENT. Proper communication and job management can eliminate this.</t>
  </si>
  <si>
    <t>CYCLE TIME DATA — STEP 1 — 8 BENDS</t>
  </si>
  <si>
    <t>Size Legend:  Small  |  Medium  |  ¥Large (less than large, ≥ close to medium)  |  Large  |  XLarge (bigger than large)</t>
  </si>
  <si>
    <t>Cycle No.</t>
  </si>
  <si>
    <t>Cycle I</t>
  </si>
  <si>
    <t>Cycle II</t>
  </si>
  <si>
    <t>Less than large, ≥ close to medium</t>
  </si>
  <si>
    <t>Cycle III</t>
  </si>
  <si>
    <t>1:49</t>
  </si>
  <si>
    <t>Cycle IV</t>
  </si>
  <si>
    <t>Cycle V</t>
  </si>
  <si>
    <t>XLarge</t>
  </si>
  <si>
    <t>Bigger than large</t>
  </si>
  <si>
    <t>Cycle VI</t>
  </si>
  <si>
    <t>NOT RECORDED</t>
  </si>
  <si>
    <t>NOT RECORDED in field notes</t>
  </si>
  <si>
    <t>Cycle VII</t>
  </si>
  <si>
    <t>2:16</t>
  </si>
  <si>
    <t>Cycle VIII</t>
  </si>
  <si>
    <t>1:35</t>
  </si>
  <si>
    <t>Cycle IX</t>
  </si>
  <si>
    <t>Cycle X</t>
  </si>
  <si>
    <t>1:25</t>
  </si>
  <si>
    <t>Cycle XI</t>
  </si>
  <si>
    <t>1:05</t>
  </si>
  <si>
    <t>Cycle XII</t>
  </si>
  <si>
    <t>Cycle XIII</t>
  </si>
  <si>
    <t>1:11</t>
  </si>
  <si>
    <t>Cycle XIV</t>
  </si>
  <si>
    <t>1:45</t>
  </si>
  <si>
    <t>Cycle XV</t>
  </si>
  <si>
    <t>1:51</t>
  </si>
  <si>
    <t>Cycle XVI</t>
  </si>
  <si>
    <t>Cycle XVII</t>
  </si>
  <si>
    <t>Cycle XVIII</t>
  </si>
  <si>
    <t>1:27</t>
  </si>
  <si>
    <t>Cycle XIX</t>
  </si>
  <si>
    <t>1:07</t>
  </si>
  <si>
    <t>Cycle XX</t>
  </si>
  <si>
    <t>📊  STATISTICS BY SIZE  (formulas — auto-updates when any value changes)</t>
  </si>
  <si>
    <t>Size</t>
  </si>
  <si>
    <t>Mean (sec)</t>
  </si>
  <si>
    <t>Mean (mm:ss)</t>
  </si>
  <si>
    <t>Median (sec)</t>
  </si>
  <si>
    <t>Mode (sec)</t>
  </si>
  <si>
    <t>🕒  WASTED TIME (as noted in field observations)</t>
  </si>
  <si>
    <t>Type</t>
  </si>
  <si>
    <t>Wasted (sec)</t>
  </si>
  <si>
    <t>Wasted (mm:ss)</t>
  </si>
  <si>
    <t>Discussion / Idle time</t>
  </si>
  <si>
    <t>Circled note in field book — reducible with proper communication</t>
  </si>
  <si>
    <t>Tool arrangement</t>
  </si>
  <si>
    <t>Setup time — can be reduced with pre-staging</t>
  </si>
  <si>
    <t>← Recoverable with proper job command &amp; communication</t>
  </si>
  <si>
    <t>THERMAL PLATES — STEP 2 — 4 BENDS  |  Part: Thermal Plate Bend</t>
  </si>
  <si>
    <t>⚠  ~3 MINUTES WASTED noted after Cycle VII (field observation).</t>
  </si>
  <si>
    <t>CYCLE TIME DATA — STEP 2 — 4 BENDS</t>
  </si>
  <si>
    <t>1 minute</t>
  </si>
  <si>
    <t>~3 min wasted noted after this cycle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</si>
</sst>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1.0"/>
      <color/>
      <name val="Arial"/>
      <scheme val="minor"/>
    </font>
    <font>
      <b/>
      <sz val="14.0"/>
      <color rgb="FFFFFFFF"/>
      <name val="Arial"/>
    </font>
    <font/>
    <font>
      <b/>
      <sz val="10.0"/>
      <color rgb="FFFF0000"/>
      <name val="Arial"/>
    </font>
    <font>
      <b/>
      <sz val="10.0"/>
      <color rgb="FFFFFFFF"/>
      <name val="Arial"/>
    </font>
    <font>
      <b/>
      <sz val="10.0"/>
      <color rgb="FF375623"/>
      <name val="Arial"/>
    </font>
    <font>
      <b/>
      <sz val="10.0"/>
      <color rgb="FF000000"/>
      <name val="Arial"/>
    </font>
    <font>
      <b/>
      <sz val="10.0"/>
      <color rgb="FF4A1942"/>
      <name val="Arial"/>
    </font>
    <font>
      <sz val="10.0"/>
      <color rgb="FF375623"/>
      <name val="Arial"/>
    </font>
    <font>
      <b/>
      <sz val="10.0"/>
      <color rgb="FF1C4587"/>
      <name val="Arial"/>
    </font>
    <font>
      <sz val="10.0"/>
      <color rgb="FF1C4587"/>
      <name val="Arial"/>
    </font>
    <font>
      <b/>
      <sz val="11.0"/>
      <color rgb="FF4A1942"/>
      <name val="Arial"/>
    </font>
    <font>
      <sz val="10.0"/>
      <color rgb="FF000000"/>
      <name val="Arial"/>
    </font>
    <font>
      <b/>
      <sz val="10.0"/>
      <color rgb="FF7F6000"/>
      <name val="Arial"/>
    </font>
    <font>
      <b/>
      <sz val="10.0"/>
      <color rgb="FF274E13"/>
      <name val="Arial"/>
    </font>
    <font>
      <b/>
      <sz val="10.0"/>
      <color rgb="FF990000"/>
      <name val="Arial"/>
    </font>
    <font>
      <i/>
      <sz val="10.0"/>
      <color rgb="FF7F6000"/>
      <name val="Arial"/>
    </font>
    <font>
      <i/>
      <sz val="10.0"/>
      <color rgb="FF000000"/>
      <name val="Arial"/>
    </font>
    <font>
      <b/>
      <sz val="11.0"/>
      <color rgb="FFFFFFFF"/>
      <name val="Arial"/>
    </font>
    <font>
      <b/>
      <sz val="10.0"/>
      <color rgb="FF1F3864"/>
      <name val="Arial"/>
    </font>
    <font>
      <b/>
      <sz val="10.0"/>
      <color rgb="FF7F0000"/>
      <name val="Arial"/>
    </font>
    <font>
      <sz val="10.0"/>
      <color rgb="FF333333"/>
      <name val="Arial"/>
    </font>
    <font>
      <i/>
      <sz val="9.0"/>
      <color rgb="FF595959"/>
      <name val="Arial"/>
    </font>
    <font>
      <b/>
      <sz val="11.0"/>
      <color rgb="FFC00000"/>
      <name val="Arial"/>
    </font>
    <font>
      <b/>
      <sz val="10.0"/>
      <color rgb="FFC00000"/>
      <name val="Arial"/>
    </font>
    <font>
      <b/>
      <sz val="13.0"/>
      <color rgb="FFFFFFFF"/>
      <name val="Arial"/>
    </font>
    <font>
      <sz val="9.0"/>
      <color rgb="FF333333"/>
      <name val="Arial"/>
    </font>
    <font>
      <sz val="9.0"/>
      <color rgb="FF1C4587"/>
      <name val="Arial"/>
    </font>
    <font>
      <sz val="10.0"/>
      <color rgb="FF274E13"/>
      <name val="Arial"/>
    </font>
    <font>
      <i/>
      <sz val="9.0"/>
      <color rgb="FF7F6000"/>
      <name val="Arial"/>
    </font>
    <font>
      <sz val="10.0"/>
      <color rgb="FF7F6000"/>
      <name val="Arial"/>
    </font>
    <font>
      <sz val="9.0"/>
      <color rgb="FF7F6000"/>
      <name val="Arial"/>
    </font>
    <font>
      <sz val="10.0"/>
      <color rgb="FF990000"/>
      <name val="Arial"/>
    </font>
    <font>
      <b/>
      <sz val="10.0"/>
      <color rgb="FF595959"/>
      <name val="Arial"/>
    </font>
    <font>
      <i/>
      <sz val="10.0"/>
      <color rgb="FF595959"/>
      <name val="Arial"/>
    </font>
    <font>
      <b/>
      <i/>
      <sz val="10.0"/>
      <color rgb="FF595959"/>
      <name val="Arial"/>
    </font>
    <font>
      <sz val="10.0"/>
      <color rgb="FF4A1942"/>
      <name val="Arial"/>
    </font>
    <font>
      <sz val="9.0"/>
      <color rgb="FF4A1942"/>
      <name val="Arial"/>
    </font>
    <font>
      <sz val="10.0"/>
      <color rgb="FFC00000"/>
      <name val="Arial"/>
    </font>
    <font>
      <i/>
      <sz val="9.0"/>
      <color rgb="FF7F0000"/>
      <name val="Arial"/>
    </font>
    <font>
      <i/>
      <sz val="10.0"/>
      <color rgb="FF7F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E6E6"/>
        <bgColor rgb="FFFFE6E6"/>
      </patternFill>
    </fill>
    <fill>
      <patternFill patternType="solid">
        <fgColor rgb="FF375623"/>
        <bgColor rgb="FF375623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EAD1DC"/>
        <bgColor rgb="FFEAD1DC"/>
      </patternFill>
    </fill>
    <fill>
      <patternFill patternType="solid">
        <fgColor rgb="FFE2EFDA"/>
        <bgColor rgb="FFE2EFDA"/>
      </patternFill>
    </fill>
    <fill>
      <patternFill patternType="solid">
        <fgColor rgb="FFEBF3FB"/>
        <bgColor rgb="FFEBF3FB"/>
      </patternFill>
    </fill>
    <fill>
      <patternFill patternType="solid">
        <fgColor rgb="FFEDE0FF"/>
        <bgColor rgb="FFEDE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8DC"/>
        <bgColor rgb="FFFFF8DC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D0D0"/>
        <bgColor rgb="FFFFD0D0"/>
      </patternFill>
    </fill>
    <fill>
      <patternFill patternType="solid">
        <fgColor rgb="FF2E75B6"/>
        <bgColor rgb="FF2E75B6"/>
      </patternFill>
    </fill>
    <fill>
      <patternFill patternType="solid">
        <fgColor rgb="FFF3F3F3"/>
        <bgColor rgb="FFF3F3F3"/>
      </patternFill>
    </fill>
    <fill>
      <patternFill patternType="solid">
        <fgColor rgb="FFE0E0E0"/>
        <bgColor rgb="FFE0E0E0"/>
      </patternFill>
    </fill>
    <fill>
      <patternFill patternType="solid">
        <fgColor rgb="FFFFE0E0"/>
        <bgColor rgb="FFFFE0E0"/>
      </patternFill>
    </fill>
    <fill>
      <patternFill patternType="solid">
        <fgColor rgb="FF7F0000"/>
        <bgColor rgb="FF7F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0"/>
    </xf>
    <xf borderId="4" fillId="7" fontId="7" numFmtId="0" xfId="0" applyAlignment="1" applyBorder="1" applyFill="1" applyFont="1">
      <alignment horizontal="center" shrinkToFit="0" vertical="center" wrapText="0"/>
    </xf>
    <xf borderId="4" fillId="8" fontId="5" numFmtId="0" xfId="0" applyAlignment="1" applyBorder="1" applyFill="1" applyFont="1">
      <alignment horizontal="center" shrinkToFit="0" vertical="center" wrapText="0"/>
    </xf>
    <xf borderId="4" fillId="8" fontId="8" numFmtId="0" xfId="0" applyAlignment="1" applyBorder="1" applyFont="1">
      <alignment horizontal="center" shrinkToFit="0" vertical="center" wrapText="0"/>
    </xf>
    <xf borderId="4" fillId="9" fontId="9" numFmtId="0" xfId="0" applyAlignment="1" applyBorder="1" applyFill="1" applyFont="1">
      <alignment horizontal="center" shrinkToFit="0" vertical="center" wrapText="0"/>
    </xf>
    <xf borderId="4" fillId="9" fontId="10" numFmtId="0" xfId="0" applyAlignment="1" applyBorder="1" applyFont="1">
      <alignment horizontal="center" shrinkToFit="0" vertical="center" wrapText="0"/>
    </xf>
    <xf borderId="4" fillId="10" fontId="11" numFmtId="0" xfId="0" applyAlignment="1" applyBorder="1" applyFill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11" fontId="13" numFmtId="0" xfId="0" applyAlignment="1" applyBorder="1" applyFill="1" applyFont="1">
      <alignment horizontal="center" shrinkToFit="0" vertical="center" wrapText="0"/>
    </xf>
    <xf borderId="4" fillId="11" fontId="12" numFmtId="0" xfId="0" applyAlignment="1" applyBorder="1" applyFont="1">
      <alignment horizontal="center" shrinkToFit="0" vertical="center" wrapText="0"/>
    </xf>
    <xf borderId="4" fillId="12" fontId="14" numFmtId="0" xfId="0" applyAlignment="1" applyBorder="1" applyFill="1" applyFont="1">
      <alignment horizontal="center" shrinkToFit="0" vertical="center" wrapText="0"/>
    </xf>
    <xf borderId="4" fillId="12" fontId="12" numFmtId="0" xfId="0" applyAlignment="1" applyBorder="1" applyFont="1">
      <alignment horizontal="center" shrinkToFit="0" vertical="center" wrapText="0"/>
    </xf>
    <xf borderId="4" fillId="13" fontId="9" numFmtId="0" xfId="0" applyAlignment="1" applyBorder="1" applyFill="1" applyFont="1">
      <alignment horizontal="center" shrinkToFit="0" vertical="center" wrapText="0"/>
    </xf>
    <xf borderId="4" fillId="13" fontId="12" numFmtId="0" xfId="0" applyAlignment="1" applyBorder="1" applyFont="1">
      <alignment horizontal="center" shrinkToFit="0" vertical="center" wrapText="0"/>
    </xf>
    <xf borderId="4" fillId="14" fontId="15" numFmtId="0" xfId="0" applyAlignment="1" applyBorder="1" applyFill="1" applyFont="1">
      <alignment horizontal="center" shrinkToFit="0" vertical="center" wrapText="0"/>
    </xf>
    <xf borderId="4" fillId="15" fontId="16" numFmtId="0" xfId="0" applyAlignment="1" applyBorder="1" applyFill="1" applyFont="1">
      <alignment horizontal="center" shrinkToFit="0" vertical="center" wrapText="0"/>
    </xf>
    <xf borderId="4" fillId="14" fontId="12" numFmtId="0" xfId="0" applyAlignment="1" applyBorder="1" applyFont="1">
      <alignment horizontal="center" shrinkToFit="0" vertical="center" wrapText="0"/>
    </xf>
    <xf borderId="4" fillId="14" fontId="17" numFmtId="0" xfId="0" applyAlignment="1" applyBorder="1" applyFont="1">
      <alignment horizontal="center" shrinkToFit="0" vertical="center" wrapText="0"/>
    </xf>
    <xf borderId="1" fillId="16" fontId="18" numFmtId="0" xfId="0" applyAlignment="1" applyBorder="1" applyFill="1" applyFont="1">
      <alignment horizontal="center" shrinkToFit="0" vertical="center" wrapText="0"/>
    </xf>
    <xf borderId="4" fillId="17" fontId="19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ont="1">
      <alignment horizontal="left" shrinkToFit="0" vertical="center" wrapText="0"/>
    </xf>
    <xf borderId="4" fillId="10" fontId="7" numFmtId="0" xfId="0" applyAlignment="1" applyBorder="1" applyFont="1">
      <alignment horizontal="center" shrinkToFit="0" vertical="center" wrapText="0"/>
    </xf>
    <xf borderId="4" fillId="18" fontId="6" numFmtId="0" xfId="0" applyAlignment="1" applyBorder="1" applyFill="1" applyFont="1">
      <alignment horizontal="left" shrinkToFit="0" vertical="center" wrapText="0"/>
    </xf>
    <xf borderId="4" fillId="18" fontId="12" numFmtId="0" xfId="0" applyAlignment="1" applyBorder="1" applyFont="1">
      <alignment horizontal="center" shrinkToFit="0" vertical="center" wrapText="0"/>
    </xf>
    <xf borderId="4" fillId="9" fontId="12" numFmtId="0" xfId="0" applyAlignment="1" applyBorder="1" applyFont="1">
      <alignment horizontal="center" shrinkToFit="0" vertical="center" wrapText="0"/>
    </xf>
    <xf borderId="1" fillId="19" fontId="18" numFmtId="0" xfId="0" applyAlignment="1" applyBorder="1" applyFill="1" applyFont="1">
      <alignment horizontal="center" shrinkToFit="0" vertical="center" wrapText="0"/>
    </xf>
    <xf borderId="4" fillId="14" fontId="20" numFmtId="0" xfId="0" applyAlignment="1" applyBorder="1" applyFont="1">
      <alignment horizontal="center" shrinkToFit="0" vertical="center" wrapText="0"/>
    </xf>
    <xf borderId="4" fillId="3" fontId="21" numFmtId="0" xfId="0" applyAlignment="1" applyBorder="1" applyFont="1">
      <alignment horizontal="left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22" numFmtId="0" xfId="0" applyAlignment="1" applyBorder="1" applyFont="1">
      <alignment horizontal="left" shrinkToFit="0" vertical="center" wrapText="1"/>
    </xf>
    <xf borderId="4" fillId="18" fontId="21" numFmtId="0" xfId="0" applyAlignment="1" applyBorder="1" applyFont="1">
      <alignment horizontal="left" shrinkToFit="0" vertical="center" wrapText="0"/>
    </xf>
    <xf borderId="4" fillId="18" fontId="12" numFmtId="0" xfId="0" applyAlignment="1" applyBorder="1" applyFont="1">
      <alignment horizontal="center" readingOrder="0" shrinkToFit="0" vertical="center" wrapText="0"/>
    </xf>
    <xf borderId="4" fillId="18" fontId="12" numFmtId="20" xfId="0" applyAlignment="1" applyBorder="1" applyFont="1" applyNumberFormat="1">
      <alignment horizontal="center" readingOrder="0" shrinkToFit="0" vertical="center" wrapText="0"/>
    </xf>
    <xf borderId="4" fillId="18" fontId="22" numFmtId="0" xfId="0" applyAlignment="1" applyBorder="1" applyFont="1">
      <alignment horizontal="left" shrinkToFit="0" vertical="center" wrapText="1"/>
    </xf>
    <xf borderId="4" fillId="20" fontId="23" numFmtId="0" xfId="0" applyAlignment="1" applyBorder="1" applyFill="1" applyFont="1">
      <alignment horizontal="left" shrinkToFit="0" vertical="center" wrapText="0"/>
    </xf>
    <xf borderId="4" fillId="20" fontId="24" numFmtId="0" xfId="0" applyAlignment="1" applyBorder="1" applyFont="1">
      <alignment horizontal="center" readingOrder="0" shrinkToFit="0" vertical="center" wrapText="0"/>
    </xf>
    <xf borderId="4" fillId="20" fontId="24" numFmtId="46" xfId="0" applyAlignment="1" applyBorder="1" applyFont="1" applyNumberFormat="1">
      <alignment horizontal="center" readingOrder="0" shrinkToFit="0" vertical="center" wrapText="0"/>
    </xf>
    <xf borderId="4" fillId="20" fontId="22" numFmtId="0" xfId="0" applyAlignment="1" applyBorder="1" applyFont="1">
      <alignment horizontal="left" shrinkToFit="0" vertical="center" wrapText="1"/>
    </xf>
    <xf borderId="4" fillId="20" fontId="24" numFmtId="0" xfId="0" applyAlignment="1" applyBorder="1" applyFont="1">
      <alignment horizontal="center" shrinkToFit="0" vertical="center" wrapText="0"/>
    </xf>
    <xf borderId="1" fillId="6" fontId="22" numFmtId="0" xfId="0" applyAlignment="1" applyBorder="1" applyFont="1">
      <alignment horizontal="left" shrinkToFit="0" vertical="center" wrapText="1"/>
    </xf>
    <xf borderId="1" fillId="2" fontId="25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1"/>
    </xf>
    <xf borderId="1" fillId="21" fontId="18" numFmtId="0" xfId="0" applyAlignment="1" applyBorder="1" applyFill="1" applyFont="1">
      <alignment horizontal="center" shrinkToFit="0" vertical="center" wrapText="0"/>
    </xf>
    <xf borderId="1" fillId="22" fontId="26" numFmtId="0" xfId="0" applyAlignment="1" applyBorder="1" applyFill="1" applyFont="1">
      <alignment horizontal="left" shrinkToFit="0" vertical="center" wrapText="1"/>
    </xf>
    <xf borderId="4" fillId="13" fontId="10" numFmtId="0" xfId="0" applyAlignment="1" applyBorder="1" applyFont="1">
      <alignment horizontal="center" shrinkToFit="0" vertical="center" wrapText="0"/>
    </xf>
    <xf borderId="4" fillId="13" fontId="27" numFmtId="0" xfId="0" applyAlignment="1" applyBorder="1" applyFont="1">
      <alignment horizontal="left" shrinkToFit="0" vertical="center" wrapText="1"/>
    </xf>
    <xf borderId="4" fillId="12" fontId="28" numFmtId="0" xfId="0" applyAlignment="1" applyBorder="1" applyFont="1">
      <alignment horizontal="center" shrinkToFit="0" vertical="center" wrapText="0"/>
    </xf>
    <xf borderId="4" fillId="15" fontId="29" numFmtId="0" xfId="0" applyAlignment="1" applyBorder="1" applyFont="1">
      <alignment horizontal="left" shrinkToFit="0" vertical="center" wrapText="1"/>
    </xf>
    <xf borderId="4" fillId="11" fontId="30" numFmtId="0" xfId="0" applyAlignment="1" applyBorder="1" applyFont="1">
      <alignment horizontal="center" shrinkToFit="0" vertical="center" wrapText="0"/>
    </xf>
    <xf borderId="4" fillId="11" fontId="31" numFmtId="0" xfId="0" applyAlignment="1" applyBorder="1" applyFont="1">
      <alignment horizontal="left" shrinkToFit="0" vertical="center" wrapText="1"/>
    </xf>
    <xf borderId="4" fillId="14" fontId="32" numFmtId="0" xfId="0" applyAlignment="1" applyBorder="1" applyFont="1">
      <alignment horizontal="center" shrinkToFit="0" vertical="center" wrapText="0"/>
    </xf>
    <xf borderId="4" fillId="23" fontId="33" numFmtId="0" xfId="0" applyAlignment="1" applyBorder="1" applyFill="1" applyFont="1">
      <alignment horizontal="center" shrinkToFit="0" vertical="center" wrapText="0"/>
    </xf>
    <xf borderId="4" fillId="23" fontId="34" numFmtId="0" xfId="0" applyAlignment="1" applyBorder="1" applyFont="1">
      <alignment horizontal="center" shrinkToFit="0" vertical="center" wrapText="0"/>
    </xf>
    <xf borderId="4" fillId="23" fontId="35" numFmtId="0" xfId="0" applyAlignment="1" applyBorder="1" applyFont="1">
      <alignment horizontal="center" shrinkToFit="0" vertical="center" wrapText="0"/>
    </xf>
    <xf borderId="4" fillId="7" fontId="36" numFmtId="0" xfId="0" applyAlignment="1" applyBorder="1" applyFont="1">
      <alignment horizontal="center" shrinkToFit="0" vertical="center" wrapText="0"/>
    </xf>
    <xf borderId="4" fillId="7" fontId="37" numFmtId="0" xfId="0" applyAlignment="1" applyBorder="1" applyFont="1">
      <alignment horizontal="left" shrinkToFit="0" vertical="center" wrapText="1"/>
    </xf>
    <xf borderId="4" fillId="3" fontId="20" numFmtId="0" xfId="0" applyAlignment="1" applyBorder="1" applyFont="1">
      <alignment horizontal="left" shrinkToFit="0" vertical="center" wrapText="0"/>
    </xf>
    <xf borderId="4" fillId="24" fontId="24" numFmtId="0" xfId="0" applyAlignment="1" applyBorder="1" applyFill="1" applyFont="1">
      <alignment horizontal="center" shrinkToFit="0" vertical="center" wrapText="0"/>
    </xf>
    <xf borderId="4" fillId="24" fontId="38" numFmtId="0" xfId="0" applyAlignment="1" applyBorder="1" applyFont="1">
      <alignment horizontal="center" shrinkToFit="0" vertical="center" wrapText="0"/>
    </xf>
    <xf borderId="4" fillId="3" fontId="39" numFmtId="0" xfId="0" applyAlignment="1" applyBorder="1" applyFont="1">
      <alignment horizontal="left" shrinkToFit="0" vertical="center" wrapText="1"/>
    </xf>
    <xf borderId="4" fillId="18" fontId="20" numFmtId="0" xfId="0" applyAlignment="1" applyBorder="1" applyFont="1">
      <alignment horizontal="left" shrinkToFit="0" vertical="center" wrapText="0"/>
    </xf>
    <xf borderId="4" fillId="24" fontId="24" numFmtId="0" xfId="0" applyAlignment="1" applyBorder="1" applyFont="1">
      <alignment horizontal="center" readingOrder="0" shrinkToFit="0" vertical="center" wrapText="0"/>
    </xf>
    <xf borderId="4" fillId="24" fontId="38" numFmtId="20" xfId="0" applyAlignment="1" applyBorder="1" applyFont="1" applyNumberFormat="1">
      <alignment horizontal="center" readingOrder="0" shrinkToFit="0" vertical="center" wrapText="0"/>
    </xf>
    <xf borderId="4" fillId="18" fontId="39" numFmtId="0" xfId="0" applyAlignment="1" applyBorder="1" applyFont="1">
      <alignment horizontal="left" shrinkToFit="0" vertical="center" wrapText="1"/>
    </xf>
    <xf borderId="4" fillId="25" fontId="4" numFmtId="0" xfId="0" applyAlignment="1" applyBorder="1" applyFill="1" applyFont="1">
      <alignment horizontal="left" shrinkToFit="0" vertical="center" wrapText="0"/>
    </xf>
    <xf borderId="4" fillId="19" fontId="18" numFmtId="0" xfId="0" applyAlignment="1" applyBorder="1" applyFont="1">
      <alignment horizontal="center" readingOrder="0" shrinkToFit="0" vertical="center" wrapText="0"/>
    </xf>
    <xf borderId="4" fillId="19" fontId="18" numFmtId="46" xfId="0" applyAlignment="1" applyBorder="1" applyFont="1" applyNumberFormat="1">
      <alignment horizontal="center" readingOrder="0" shrinkToFit="0" vertical="center" wrapText="0"/>
    </xf>
    <xf borderId="4" fillId="3" fontId="40" numFmtId="0" xfId="0" applyAlignment="1" applyBorder="1" applyFont="1">
      <alignment horizontal="left" shrinkToFit="0" vertical="center" wrapText="0"/>
    </xf>
    <xf borderId="4" fillId="19" fontId="1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3" width="16.0"/>
    <col customWidth="1" min="4" max="4" width="19.57"/>
    <col customWidth="1" min="5" max="5" width="16.0"/>
    <col customWidth="1" min="6" max="6" width="14.0"/>
    <col customWidth="1" min="7" max="7" width="16.0"/>
    <col customWidth="1" min="8" max="9" width="14.0"/>
    <col customWidth="1" min="10" max="10" width="32.0"/>
    <col customWidth="1" min="11" max="11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37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25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3"/>
    </row>
    <row r="4" ht="31.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</row>
    <row r="5" ht="19.5" customHeight="1">
      <c r="A5" s="7">
        <v>1.0</v>
      </c>
      <c r="B5" s="8" t="s">
        <v>13</v>
      </c>
      <c r="C5" s="9">
        <v>70.0</v>
      </c>
      <c r="D5" s="10" t="s">
        <v>14</v>
      </c>
      <c r="E5" s="11">
        <v>29.0</v>
      </c>
      <c r="F5" s="12" t="s">
        <v>15</v>
      </c>
      <c r="G5" s="13">
        <v>99.0</v>
      </c>
      <c r="H5" s="13" t="s">
        <v>16</v>
      </c>
      <c r="I5" s="14">
        <v>4.0</v>
      </c>
      <c r="J5" s="14">
        <v>1.0</v>
      </c>
    </row>
    <row r="6" ht="19.5" customHeight="1">
      <c r="A6" s="7">
        <v>2.0</v>
      </c>
      <c r="B6" s="15" t="s">
        <v>17</v>
      </c>
      <c r="C6" s="9">
        <v>81.44</v>
      </c>
      <c r="D6" s="10" t="s">
        <v>18</v>
      </c>
      <c r="E6" s="11">
        <v>36.0</v>
      </c>
      <c r="F6" s="12" t="s">
        <v>19</v>
      </c>
      <c r="G6" s="13">
        <v>117.44</v>
      </c>
      <c r="H6" s="13" t="s">
        <v>20</v>
      </c>
      <c r="I6" s="16">
        <v>9.0</v>
      </c>
      <c r="J6" s="16">
        <v>2.0</v>
      </c>
    </row>
    <row r="7" ht="19.5" customHeight="1">
      <c r="A7" s="7">
        <v>3.0</v>
      </c>
      <c r="B7" s="17" t="s">
        <v>21</v>
      </c>
      <c r="C7" s="9">
        <v>103.0</v>
      </c>
      <c r="D7" s="10" t="s">
        <v>22</v>
      </c>
      <c r="E7" s="11">
        <v>60.0</v>
      </c>
      <c r="F7" s="12" t="s">
        <v>23</v>
      </c>
      <c r="G7" s="13">
        <v>163.0</v>
      </c>
      <c r="H7" s="13" t="s">
        <v>24</v>
      </c>
      <c r="I7" s="18">
        <v>1.0</v>
      </c>
      <c r="J7" s="18">
        <v>1.0</v>
      </c>
    </row>
    <row r="8" ht="19.5" customHeight="1">
      <c r="A8" s="7">
        <v>4.0</v>
      </c>
      <c r="B8" s="19" t="s">
        <v>25</v>
      </c>
      <c r="C8" s="9">
        <v>107.75</v>
      </c>
      <c r="D8" s="10" t="s">
        <v>26</v>
      </c>
      <c r="E8" s="11">
        <v>50.0</v>
      </c>
      <c r="F8" s="12" t="s">
        <v>27</v>
      </c>
      <c r="G8" s="13">
        <v>157.75</v>
      </c>
      <c r="H8" s="13" t="s">
        <v>28</v>
      </c>
      <c r="I8" s="20">
        <v>4.0</v>
      </c>
      <c r="J8" s="20">
        <v>3.0</v>
      </c>
    </row>
    <row r="9" ht="19.5" customHeight="1">
      <c r="A9" s="7">
        <v>5.0</v>
      </c>
      <c r="B9" s="21" t="s">
        <v>29</v>
      </c>
      <c r="C9" s="9">
        <v>156.0</v>
      </c>
      <c r="D9" s="10" t="s">
        <v>30</v>
      </c>
      <c r="E9" s="22">
        <v>50.0</v>
      </c>
      <c r="F9" s="22" t="s">
        <v>27</v>
      </c>
      <c r="G9" s="13">
        <v>206.0</v>
      </c>
      <c r="H9" s="13" t="s">
        <v>31</v>
      </c>
      <c r="I9" s="23">
        <v>1.0</v>
      </c>
      <c r="J9" s="24" t="s">
        <v>32</v>
      </c>
    </row>
    <row r="11" ht="19.5" customHeight="1">
      <c r="A11" s="25" t="s">
        <v>33</v>
      </c>
      <c r="B11" s="2"/>
      <c r="C11" s="2"/>
      <c r="D11" s="2"/>
      <c r="E11" s="2"/>
      <c r="F11" s="2"/>
      <c r="G11" s="2"/>
      <c r="H11" s="2"/>
      <c r="I11" s="2"/>
      <c r="J11" s="3"/>
    </row>
    <row r="12" ht="21.75" customHeight="1">
      <c r="A12" s="26" t="s">
        <v>34</v>
      </c>
      <c r="B12" s="26" t="s">
        <v>35</v>
      </c>
      <c r="C12" s="26" t="s">
        <v>36</v>
      </c>
      <c r="D12" s="26" t="s">
        <v>37</v>
      </c>
      <c r="E12" s="26" t="s">
        <v>38</v>
      </c>
      <c r="F12" s="26" t="s">
        <v>39</v>
      </c>
      <c r="G12" s="26" t="s">
        <v>40</v>
      </c>
    </row>
    <row r="13" ht="18.0" customHeight="1">
      <c r="A13" s="27" t="s">
        <v>41</v>
      </c>
      <c r="B13" s="10">
        <v>89.63</v>
      </c>
      <c r="C13" s="10" t="s">
        <v>42</v>
      </c>
      <c r="D13" s="12">
        <v>44.43</v>
      </c>
      <c r="E13" s="12" t="s">
        <v>43</v>
      </c>
      <c r="F13" s="28">
        <v>134.06</v>
      </c>
      <c r="G13" s="28" t="s">
        <v>44</v>
      </c>
    </row>
    <row r="14" ht="18.0" customHeight="1">
      <c r="A14" s="29" t="s">
        <v>45</v>
      </c>
      <c r="B14" s="10">
        <v>80.0</v>
      </c>
      <c r="C14" s="10" t="s">
        <v>46</v>
      </c>
      <c r="D14" s="12">
        <v>45.0</v>
      </c>
      <c r="E14" s="12" t="s">
        <v>47</v>
      </c>
      <c r="F14" s="30" t="s">
        <v>48</v>
      </c>
      <c r="G14" s="30" t="s">
        <v>48</v>
      </c>
    </row>
    <row r="15" ht="18.0" customHeight="1">
      <c r="A15" s="27" t="s">
        <v>49</v>
      </c>
      <c r="B15" s="10">
        <v>79.0</v>
      </c>
      <c r="C15" s="10" t="s">
        <v>50</v>
      </c>
      <c r="D15" s="12">
        <v>45.0</v>
      </c>
      <c r="E15" s="12" t="s">
        <v>47</v>
      </c>
      <c r="F15" s="31" t="s">
        <v>48</v>
      </c>
      <c r="G15" s="31" t="s">
        <v>48</v>
      </c>
    </row>
    <row r="16" ht="18.0" customHeight="1">
      <c r="A16" s="29" t="s">
        <v>51</v>
      </c>
      <c r="B16" s="10">
        <v>61.0</v>
      </c>
      <c r="C16" s="10" t="s">
        <v>52</v>
      </c>
      <c r="D16" s="12">
        <v>29.0</v>
      </c>
      <c r="E16" s="12" t="s">
        <v>15</v>
      </c>
      <c r="F16" s="30" t="s">
        <v>48</v>
      </c>
      <c r="G16" s="30" t="s">
        <v>48</v>
      </c>
    </row>
    <row r="17" ht="18.0" customHeight="1">
      <c r="A17" s="27" t="s">
        <v>53</v>
      </c>
      <c r="B17" s="10">
        <v>156.0</v>
      </c>
      <c r="C17" s="10" t="s">
        <v>30</v>
      </c>
      <c r="D17" s="12">
        <v>60.0</v>
      </c>
      <c r="E17" s="12" t="s">
        <v>23</v>
      </c>
      <c r="F17" s="31" t="s">
        <v>48</v>
      </c>
      <c r="G17" s="31" t="s">
        <v>48</v>
      </c>
    </row>
    <row r="18" ht="18.0" customHeight="1">
      <c r="A18" s="29" t="s">
        <v>54</v>
      </c>
      <c r="B18" s="10">
        <v>19.0</v>
      </c>
      <c r="C18" s="10" t="s">
        <v>55</v>
      </c>
      <c r="D18" s="12">
        <v>7.0</v>
      </c>
      <c r="E18" s="12" t="s">
        <v>56</v>
      </c>
      <c r="F18" s="30" t="s">
        <v>48</v>
      </c>
      <c r="G18" s="30" t="s">
        <v>48</v>
      </c>
    </row>
    <row r="19" ht="18.0" customHeight="1">
      <c r="A19" s="27" t="s">
        <v>57</v>
      </c>
      <c r="B19" s="10">
        <v>1703.0</v>
      </c>
      <c r="C19" s="10" t="s">
        <v>58</v>
      </c>
      <c r="D19" s="12">
        <v>311.0</v>
      </c>
      <c r="E19" s="12" t="s">
        <v>59</v>
      </c>
      <c r="F19" s="28">
        <v>2014.0</v>
      </c>
      <c r="G19" s="28" t="s">
        <v>60</v>
      </c>
    </row>
    <row r="21" ht="21.75" customHeight="1">
      <c r="A21" s="32" t="s">
        <v>61</v>
      </c>
      <c r="B21" s="2"/>
      <c r="C21" s="2"/>
      <c r="D21" s="2"/>
      <c r="E21" s="2"/>
      <c r="F21" s="2"/>
      <c r="G21" s="2"/>
      <c r="H21" s="2"/>
      <c r="I21" s="2"/>
      <c r="J21" s="3"/>
    </row>
    <row r="22" ht="18.0" customHeight="1">
      <c r="A22" s="33" t="s">
        <v>62</v>
      </c>
      <c r="B22" s="33" t="s">
        <v>63</v>
      </c>
      <c r="C22" s="33" t="s">
        <v>64</v>
      </c>
      <c r="D22" s="33" t="s">
        <v>65</v>
      </c>
    </row>
    <row r="23" ht="36.0" customHeight="1">
      <c r="A23" s="34" t="s">
        <v>66</v>
      </c>
      <c r="B23" s="35">
        <v>1080.0</v>
      </c>
      <c r="C23" s="35" t="s">
        <v>67</v>
      </c>
      <c r="D23" s="36" t="s">
        <v>68</v>
      </c>
    </row>
    <row r="24" ht="33.75" customHeight="1">
      <c r="A24" s="37" t="s">
        <v>69</v>
      </c>
      <c r="B24" s="38">
        <v>840.0</v>
      </c>
      <c r="C24" s="39">
        <v>0.5833333333333334</v>
      </c>
      <c r="D24" s="40" t="s">
        <v>70</v>
      </c>
    </row>
    <row r="25" ht="35.25" customHeight="1">
      <c r="A25" s="34" t="s">
        <v>71</v>
      </c>
      <c r="B25" s="35">
        <v>180.0</v>
      </c>
      <c r="C25" s="35" t="s">
        <v>72</v>
      </c>
      <c r="D25" s="36" t="s">
        <v>73</v>
      </c>
    </row>
    <row r="26" ht="37.5" customHeight="1">
      <c r="A26" s="41" t="s">
        <v>74</v>
      </c>
      <c r="B26" s="42">
        <v>2100.0</v>
      </c>
      <c r="C26" s="43">
        <v>1.4583333333333333</v>
      </c>
      <c r="D26" s="44" t="s">
        <v>75</v>
      </c>
    </row>
    <row r="27" ht="15.75" customHeight="1"/>
    <row r="28" ht="38.25" customHeight="1">
      <c r="A28" s="37" t="s">
        <v>76</v>
      </c>
      <c r="B28" s="30">
        <v>134.06</v>
      </c>
      <c r="C28" s="30" t="s">
        <v>44</v>
      </c>
      <c r="D28" s="40" t="s">
        <v>77</v>
      </c>
    </row>
    <row r="29" ht="69.75" customHeight="1">
      <c r="A29" s="41" t="s">
        <v>78</v>
      </c>
      <c r="B29" s="45">
        <v>120.65</v>
      </c>
      <c r="C29" s="45" t="s">
        <v>79</v>
      </c>
      <c r="D29" s="44" t="s">
        <v>80</v>
      </c>
    </row>
    <row r="30" ht="19.5" customHeight="1">
      <c r="A30" s="37"/>
      <c r="B30" s="30"/>
      <c r="C30" s="30"/>
      <c r="D30" s="40"/>
    </row>
    <row r="31" ht="15.75" customHeight="1"/>
    <row r="32" ht="27.75" customHeight="1">
      <c r="A32" s="46"/>
      <c r="B32" s="2"/>
      <c r="C32" s="2"/>
      <c r="D32" s="2"/>
      <c r="E32" s="2"/>
      <c r="F32" s="2"/>
      <c r="G32" s="2"/>
      <c r="H32" s="2"/>
      <c r="I32" s="2"/>
      <c r="J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1:J1"/>
    <mergeCell ref="A2:J2"/>
    <mergeCell ref="A3:J3"/>
    <mergeCell ref="A11:J11"/>
    <mergeCell ref="A21:J21"/>
    <mergeCell ref="A32:J3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1.0"/>
    <col customWidth="1" min="3" max="3" width="16.0"/>
    <col customWidth="1" min="4" max="4" width="54.43"/>
    <col customWidth="1" min="5" max="5" width="23.43"/>
    <col customWidth="1" min="6" max="6" width="28.0"/>
    <col customWidth="1" min="7" max="11" width="8.71"/>
  </cols>
  <sheetData>
    <row r="1" ht="27.75" customHeight="1">
      <c r="A1" s="47" t="s">
        <v>81</v>
      </c>
      <c r="B1" s="2"/>
      <c r="C1" s="2"/>
      <c r="D1" s="2"/>
      <c r="E1" s="2"/>
      <c r="F1" s="3"/>
    </row>
    <row r="2" ht="37.5" customHeight="1">
      <c r="A2" s="48" t="s">
        <v>82</v>
      </c>
      <c r="B2" s="2"/>
      <c r="C2" s="2"/>
      <c r="D2" s="2"/>
      <c r="E2" s="2"/>
      <c r="F2" s="3"/>
    </row>
    <row r="3" ht="19.5" customHeight="1">
      <c r="A3" s="49" t="s">
        <v>83</v>
      </c>
      <c r="B3" s="2"/>
      <c r="C3" s="2"/>
      <c r="D3" s="2"/>
      <c r="E3" s="2"/>
      <c r="F3" s="3"/>
    </row>
    <row r="4" ht="18.0" customHeight="1">
      <c r="A4" s="50" t="s">
        <v>84</v>
      </c>
      <c r="B4" s="2"/>
      <c r="C4" s="2"/>
      <c r="D4" s="2"/>
      <c r="E4" s="2"/>
      <c r="F4" s="3"/>
    </row>
    <row r="5" ht="21.75" customHeight="1">
      <c r="A5" s="26" t="s">
        <v>3</v>
      </c>
      <c r="B5" s="26" t="s">
        <v>85</v>
      </c>
      <c r="C5" s="26" t="s">
        <v>4</v>
      </c>
      <c r="D5" s="26" t="s">
        <v>63</v>
      </c>
      <c r="E5" s="26" t="s">
        <v>64</v>
      </c>
      <c r="F5" s="26" t="s">
        <v>65</v>
      </c>
    </row>
    <row r="6" ht="18.0" customHeight="1">
      <c r="A6" s="7">
        <v>1.0</v>
      </c>
      <c r="B6" s="19" t="s">
        <v>86</v>
      </c>
      <c r="C6" s="19" t="s">
        <v>25</v>
      </c>
      <c r="D6" s="19">
        <v>79.0</v>
      </c>
      <c r="E6" s="51" t="s">
        <v>50</v>
      </c>
      <c r="F6" s="52"/>
    </row>
    <row r="7" ht="19.5" customHeight="1">
      <c r="A7" s="7">
        <v>2.0</v>
      </c>
      <c r="B7" s="17" t="s">
        <v>87</v>
      </c>
      <c r="C7" s="17" t="s">
        <v>21</v>
      </c>
      <c r="D7" s="17">
        <v>103.0</v>
      </c>
      <c r="E7" s="53" t="s">
        <v>22</v>
      </c>
      <c r="F7" s="54" t="s">
        <v>88</v>
      </c>
    </row>
    <row r="8" ht="18.0" customHeight="1">
      <c r="A8" s="7">
        <v>3.0</v>
      </c>
      <c r="B8" s="15" t="s">
        <v>89</v>
      </c>
      <c r="C8" s="15" t="s">
        <v>17</v>
      </c>
      <c r="D8" s="15">
        <v>109.0</v>
      </c>
      <c r="E8" s="55" t="s">
        <v>90</v>
      </c>
      <c r="F8" s="56"/>
    </row>
    <row r="9" ht="18.0" customHeight="1">
      <c r="A9" s="7">
        <v>4.0</v>
      </c>
      <c r="B9" s="15" t="s">
        <v>91</v>
      </c>
      <c r="C9" s="15" t="s">
        <v>17</v>
      </c>
      <c r="D9" s="15">
        <v>70.0</v>
      </c>
      <c r="E9" s="55" t="s">
        <v>14</v>
      </c>
      <c r="F9" s="56"/>
    </row>
    <row r="10" ht="19.5" customHeight="1">
      <c r="A10" s="7">
        <v>5.0</v>
      </c>
      <c r="B10" s="21" t="s">
        <v>92</v>
      </c>
      <c r="C10" s="21" t="s">
        <v>93</v>
      </c>
      <c r="D10" s="21">
        <v>156.0</v>
      </c>
      <c r="E10" s="57" t="s">
        <v>30</v>
      </c>
      <c r="F10" s="54" t="s">
        <v>94</v>
      </c>
    </row>
    <row r="11" ht="19.5" customHeight="1">
      <c r="A11" s="7">
        <v>6.0</v>
      </c>
      <c r="B11" s="58" t="s">
        <v>95</v>
      </c>
      <c r="C11" s="58" t="s">
        <v>48</v>
      </c>
      <c r="D11" s="59" t="s">
        <v>48</v>
      </c>
      <c r="E11" s="60" t="s">
        <v>96</v>
      </c>
      <c r="F11" s="54" t="s">
        <v>97</v>
      </c>
    </row>
    <row r="12" ht="18.0" customHeight="1">
      <c r="A12" s="7">
        <v>7.0</v>
      </c>
      <c r="B12" s="19" t="s">
        <v>98</v>
      </c>
      <c r="C12" s="19" t="s">
        <v>25</v>
      </c>
      <c r="D12" s="19">
        <v>136.0</v>
      </c>
      <c r="E12" s="51" t="s">
        <v>99</v>
      </c>
      <c r="F12" s="52"/>
    </row>
    <row r="13" ht="18.0" customHeight="1">
      <c r="A13" s="7">
        <v>8.0</v>
      </c>
      <c r="B13" s="15" t="s">
        <v>100</v>
      </c>
      <c r="C13" s="15" t="s">
        <v>17</v>
      </c>
      <c r="D13" s="15">
        <v>95.0</v>
      </c>
      <c r="E13" s="55" t="s">
        <v>101</v>
      </c>
      <c r="F13" s="56"/>
    </row>
    <row r="14" ht="18.0" customHeight="1">
      <c r="A14" s="7">
        <v>9.0</v>
      </c>
      <c r="B14" s="15" t="s">
        <v>102</v>
      </c>
      <c r="C14" s="15" t="s">
        <v>17</v>
      </c>
      <c r="D14" s="15">
        <v>80.0</v>
      </c>
      <c r="E14" s="55" t="s">
        <v>46</v>
      </c>
      <c r="F14" s="56"/>
    </row>
    <row r="15" ht="18.0" customHeight="1">
      <c r="A15" s="7">
        <v>10.0</v>
      </c>
      <c r="B15" s="15" t="s">
        <v>103</v>
      </c>
      <c r="C15" s="15" t="s">
        <v>17</v>
      </c>
      <c r="D15" s="15">
        <v>85.0</v>
      </c>
      <c r="E15" s="55" t="s">
        <v>104</v>
      </c>
      <c r="F15" s="56"/>
    </row>
    <row r="16" ht="18.0" customHeight="1">
      <c r="A16" s="7">
        <v>11.0</v>
      </c>
      <c r="B16" s="15" t="s">
        <v>105</v>
      </c>
      <c r="C16" s="15" t="s">
        <v>17</v>
      </c>
      <c r="D16" s="15">
        <v>65.0</v>
      </c>
      <c r="E16" s="55" t="s">
        <v>106</v>
      </c>
      <c r="F16" s="56"/>
    </row>
    <row r="17" ht="18.0" customHeight="1">
      <c r="A17" s="7">
        <v>12.0</v>
      </c>
      <c r="B17" s="15" t="s">
        <v>107</v>
      </c>
      <c r="C17" s="15" t="s">
        <v>17</v>
      </c>
      <c r="D17" s="15">
        <v>79.0</v>
      </c>
      <c r="E17" s="55" t="s">
        <v>50</v>
      </c>
      <c r="F17" s="56"/>
    </row>
    <row r="18" ht="18.0" customHeight="1">
      <c r="A18" s="7">
        <v>13.0</v>
      </c>
      <c r="B18" s="15" t="s">
        <v>108</v>
      </c>
      <c r="C18" s="15" t="s">
        <v>17</v>
      </c>
      <c r="D18" s="15">
        <v>71.0</v>
      </c>
      <c r="E18" s="55" t="s">
        <v>109</v>
      </c>
      <c r="F18" s="56"/>
    </row>
    <row r="19" ht="18.0" customHeight="1">
      <c r="A19" s="7">
        <v>14.0</v>
      </c>
      <c r="B19" s="19" t="s">
        <v>110</v>
      </c>
      <c r="C19" s="19" t="s">
        <v>25</v>
      </c>
      <c r="D19" s="19">
        <v>105.0</v>
      </c>
      <c r="E19" s="51" t="s">
        <v>111</v>
      </c>
      <c r="F19" s="52"/>
    </row>
    <row r="20" ht="18.0" customHeight="1">
      <c r="A20" s="7">
        <v>15.0</v>
      </c>
      <c r="B20" s="19" t="s">
        <v>112</v>
      </c>
      <c r="C20" s="19" t="s">
        <v>25</v>
      </c>
      <c r="D20" s="19">
        <v>111.0</v>
      </c>
      <c r="E20" s="51" t="s">
        <v>113</v>
      </c>
      <c r="F20" s="52"/>
    </row>
    <row r="21" ht="18.0" customHeight="1">
      <c r="A21" s="7">
        <v>16.0</v>
      </c>
      <c r="B21" s="15" t="s">
        <v>114</v>
      </c>
      <c r="C21" s="15" t="s">
        <v>17</v>
      </c>
      <c r="D21" s="15">
        <v>79.0</v>
      </c>
      <c r="E21" s="55" t="s">
        <v>50</v>
      </c>
      <c r="F21" s="56"/>
    </row>
    <row r="22" ht="18.0" customHeight="1">
      <c r="A22" s="7">
        <v>17.0</v>
      </c>
      <c r="B22" s="8" t="s">
        <v>115</v>
      </c>
      <c r="C22" s="8" t="s">
        <v>13</v>
      </c>
      <c r="D22" s="8">
        <v>65.0</v>
      </c>
      <c r="E22" s="61" t="s">
        <v>106</v>
      </c>
      <c r="F22" s="62"/>
    </row>
    <row r="23" ht="18.0" customHeight="1">
      <c r="A23" s="7">
        <v>18.0</v>
      </c>
      <c r="B23" s="8" t="s">
        <v>116</v>
      </c>
      <c r="C23" s="8" t="s">
        <v>13</v>
      </c>
      <c r="D23" s="8">
        <v>87.0</v>
      </c>
      <c r="E23" s="61" t="s">
        <v>117</v>
      </c>
      <c r="F23" s="62"/>
    </row>
    <row r="24" ht="18.0" customHeight="1">
      <c r="A24" s="7">
        <v>19.0</v>
      </c>
      <c r="B24" s="8" t="s">
        <v>118</v>
      </c>
      <c r="C24" s="8" t="s">
        <v>13</v>
      </c>
      <c r="D24" s="8">
        <v>67.0</v>
      </c>
      <c r="E24" s="61" t="s">
        <v>119</v>
      </c>
      <c r="F24" s="62"/>
    </row>
    <row r="25" ht="18.0" customHeight="1">
      <c r="A25" s="7">
        <v>20.0</v>
      </c>
      <c r="B25" s="8" t="s">
        <v>120</v>
      </c>
      <c r="C25" s="8" t="s">
        <v>13</v>
      </c>
      <c r="D25" s="8">
        <v>61.0</v>
      </c>
      <c r="E25" s="61" t="s">
        <v>52</v>
      </c>
      <c r="F25" s="62"/>
    </row>
    <row r="26" ht="15.75" customHeight="1"/>
    <row r="27" ht="19.5" customHeight="1">
      <c r="A27" s="49" t="s">
        <v>121</v>
      </c>
      <c r="B27" s="2"/>
      <c r="C27" s="2"/>
      <c r="D27" s="2"/>
      <c r="E27" s="2"/>
      <c r="F27" s="3"/>
    </row>
    <row r="28" ht="21.75" customHeight="1">
      <c r="A28" s="26" t="s">
        <v>122</v>
      </c>
      <c r="B28" s="26" t="s">
        <v>54</v>
      </c>
      <c r="C28" s="26" t="s">
        <v>123</v>
      </c>
      <c r="D28" s="26" t="s">
        <v>124</v>
      </c>
      <c r="E28" s="26" t="s">
        <v>125</v>
      </c>
      <c r="F28" s="26" t="s">
        <v>126</v>
      </c>
    </row>
    <row r="29" ht="18.0" customHeight="1">
      <c r="A29" s="8" t="s">
        <v>13</v>
      </c>
      <c r="B29" s="14">
        <v>4.0</v>
      </c>
      <c r="C29" s="8" t="str">
        <f>ROUND(AVERAGE(D22,D23,D24,D25),2)</f>
        <v>70</v>
      </c>
      <c r="D29" s="61" t="str">
        <f t="shared" ref="D29:D33" si="1">IF(ISNUMBER(C29),IF(C29&gt;=60,INT(C29/60)&amp;":"&amp;TEXT(MOD(ROUND(C29,0),60),"00"),TEXT(ROUND(C29,0),"0")&amp;"s"),"-")</f>
        <v>1:10</v>
      </c>
      <c r="E29" s="14" t="str">
        <f>ROUND(MEDIAN(D22,D23,D24,D25),2)</f>
        <v>66</v>
      </c>
      <c r="F29" s="14" t="str">
        <f>IFERROR(MODE(D22,D23,D24,D25),"No mode")</f>
        <v>No mode</v>
      </c>
    </row>
    <row r="30" ht="18.0" customHeight="1">
      <c r="A30" s="15" t="s">
        <v>17</v>
      </c>
      <c r="B30" s="16">
        <v>9.0</v>
      </c>
      <c r="C30" s="15" t="str">
        <f>ROUND(AVERAGE(D8,D9,D13,D14,D15,D16,D17,D18,D21),2)</f>
        <v>81.44</v>
      </c>
      <c r="D30" s="55" t="str">
        <f t="shared" si="1"/>
        <v>1:21</v>
      </c>
      <c r="E30" s="16" t="str">
        <f>ROUND(MEDIAN(D8,D9,D13,D14,D15,D16,D17,D18,D21),2)</f>
        <v>79</v>
      </c>
      <c r="F30" s="16" t="str">
        <f>IFERROR(MODE(D8,D9,D13,D14,D15,D16,D17,D18,D21),"No mode")</f>
        <v>79</v>
      </c>
    </row>
    <row r="31" ht="18.0" customHeight="1">
      <c r="A31" s="17" t="s">
        <v>21</v>
      </c>
      <c r="B31" s="18">
        <v>1.0</v>
      </c>
      <c r="C31" s="17" t="str">
        <f>ROUND(AVERAGE(D7),2)</f>
        <v>103</v>
      </c>
      <c r="D31" s="53" t="str">
        <f t="shared" si="1"/>
        <v>1:43</v>
      </c>
      <c r="E31" s="18" t="str">
        <f>ROUND(MEDIAN(D7),2)</f>
        <v>103</v>
      </c>
      <c r="F31" s="18" t="str">
        <f>IFERROR(MODE(D7),"No mode")</f>
        <v>No mode</v>
      </c>
    </row>
    <row r="32" ht="18.0" customHeight="1">
      <c r="A32" s="19" t="s">
        <v>25</v>
      </c>
      <c r="B32" s="20">
        <v>4.0</v>
      </c>
      <c r="C32" s="19" t="str">
        <f>ROUND(AVERAGE(D6,D12,D19,D20),2)</f>
        <v>107.75</v>
      </c>
      <c r="D32" s="51" t="str">
        <f t="shared" si="1"/>
        <v>1:48</v>
      </c>
      <c r="E32" s="20" t="str">
        <f>ROUND(MEDIAN(D6,D12,D19,D20),2)</f>
        <v>108</v>
      </c>
      <c r="F32" s="20" t="str">
        <f>IFERROR(MODE(D6,D12,D19,D20),"No mode")</f>
        <v>No mode</v>
      </c>
    </row>
    <row r="33" ht="18.0" customHeight="1">
      <c r="A33" s="21" t="s">
        <v>93</v>
      </c>
      <c r="B33" s="23">
        <v>1.0</v>
      </c>
      <c r="C33" s="21" t="str">
        <f>ROUND(AVERAGE(D10),2)</f>
        <v>156</v>
      </c>
      <c r="D33" s="57" t="str">
        <f t="shared" si="1"/>
        <v>2:36</v>
      </c>
      <c r="E33" s="23" t="str">
        <f>ROUND(MEDIAN(D10),2)</f>
        <v>156</v>
      </c>
      <c r="F33" s="23" t="str">
        <f>IFERROR(MODE(D10),"No mode")</f>
        <v>No mode</v>
      </c>
    </row>
    <row r="34" ht="15.75" customHeight="1"/>
    <row r="35" ht="19.5" customHeight="1">
      <c r="A35" s="32" t="s">
        <v>127</v>
      </c>
      <c r="B35" s="2"/>
      <c r="C35" s="2"/>
      <c r="D35" s="2"/>
      <c r="E35" s="2"/>
      <c r="F35" s="3"/>
    </row>
    <row r="36" ht="18.0" customHeight="1">
      <c r="A36" s="33" t="s">
        <v>128</v>
      </c>
      <c r="B36" s="33" t="s">
        <v>129</v>
      </c>
      <c r="C36" s="33" t="s">
        <v>130</v>
      </c>
      <c r="D36" s="33" t="s">
        <v>65</v>
      </c>
    </row>
    <row r="37" ht="18.0" customHeight="1">
      <c r="A37" s="63" t="s">
        <v>131</v>
      </c>
      <c r="B37" s="64">
        <v>1080.0</v>
      </c>
      <c r="C37" s="65" t="s">
        <v>67</v>
      </c>
      <c r="D37" s="66" t="s">
        <v>132</v>
      </c>
    </row>
    <row r="38" ht="18.0" customHeight="1">
      <c r="A38" s="67" t="s">
        <v>133</v>
      </c>
      <c r="B38" s="68">
        <v>840.0</v>
      </c>
      <c r="C38" s="69">
        <v>0.5833333333333334</v>
      </c>
      <c r="D38" s="70" t="s">
        <v>134</v>
      </c>
    </row>
    <row r="39" ht="21.75" customHeight="1">
      <c r="A39" s="71" t="s">
        <v>74</v>
      </c>
      <c r="B39" s="72">
        <v>1920.0</v>
      </c>
      <c r="C39" s="73">
        <v>1.3333333333333333</v>
      </c>
      <c r="D39" s="74" t="s">
        <v>135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1:F1"/>
    <mergeCell ref="A2:F2"/>
    <mergeCell ref="A3:F3"/>
    <mergeCell ref="A4:F4"/>
    <mergeCell ref="A27:F27"/>
    <mergeCell ref="A35:F3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1.0"/>
    <col customWidth="1" min="3" max="3" width="16.0"/>
    <col customWidth="1" min="4" max="4" width="53.86"/>
    <col customWidth="1" min="5" max="5" width="37.71"/>
    <col customWidth="1" min="6" max="6" width="28.0"/>
    <col customWidth="1" min="7" max="11" width="8.71"/>
  </cols>
  <sheetData>
    <row r="1" ht="27.75" customHeight="1">
      <c r="A1" s="47" t="s">
        <v>136</v>
      </c>
      <c r="B1" s="2"/>
      <c r="C1" s="2"/>
      <c r="D1" s="2"/>
      <c r="E1" s="2"/>
      <c r="F1" s="3"/>
    </row>
    <row r="2" ht="37.5" customHeight="1">
      <c r="A2" s="48" t="s">
        <v>137</v>
      </c>
      <c r="B2" s="2"/>
      <c r="C2" s="2"/>
      <c r="D2" s="2"/>
      <c r="E2" s="2"/>
      <c r="F2" s="3"/>
    </row>
    <row r="3" ht="19.5" customHeight="1">
      <c r="A3" s="49" t="s">
        <v>138</v>
      </c>
      <c r="B3" s="2"/>
      <c r="C3" s="2"/>
      <c r="D3" s="2"/>
      <c r="E3" s="2"/>
      <c r="F3" s="3"/>
    </row>
    <row r="4" ht="18.0" customHeight="1">
      <c r="A4" s="50" t="s">
        <v>84</v>
      </c>
      <c r="B4" s="2"/>
      <c r="C4" s="2"/>
      <c r="D4" s="2"/>
      <c r="E4" s="2"/>
      <c r="F4" s="3"/>
    </row>
    <row r="5" ht="21.75" customHeight="1">
      <c r="A5" s="26" t="s">
        <v>3</v>
      </c>
      <c r="B5" s="26" t="s">
        <v>85</v>
      </c>
      <c r="C5" s="26" t="s">
        <v>4</v>
      </c>
      <c r="D5" s="26" t="s">
        <v>63</v>
      </c>
      <c r="E5" s="26" t="s">
        <v>64</v>
      </c>
      <c r="F5" s="26" t="s">
        <v>65</v>
      </c>
    </row>
    <row r="6" ht="18.0" customHeight="1">
      <c r="A6" s="7">
        <v>1.0</v>
      </c>
      <c r="B6" s="19" t="s">
        <v>86</v>
      </c>
      <c r="C6" s="19" t="s">
        <v>25</v>
      </c>
      <c r="D6" s="19">
        <v>45.0</v>
      </c>
      <c r="E6" s="51" t="s">
        <v>47</v>
      </c>
      <c r="F6" s="52"/>
    </row>
    <row r="7" ht="18.0" customHeight="1">
      <c r="A7" s="7">
        <v>2.0</v>
      </c>
      <c r="B7" s="8" t="s">
        <v>87</v>
      </c>
      <c r="C7" s="8" t="s">
        <v>13</v>
      </c>
      <c r="D7" s="8">
        <v>29.0</v>
      </c>
      <c r="E7" s="61" t="s">
        <v>15</v>
      </c>
      <c r="F7" s="62"/>
    </row>
    <row r="8" ht="19.5" customHeight="1">
      <c r="A8" s="7">
        <v>3.0</v>
      </c>
      <c r="B8" s="17" t="s">
        <v>89</v>
      </c>
      <c r="C8" s="17" t="s">
        <v>21</v>
      </c>
      <c r="D8" s="17">
        <v>60.0</v>
      </c>
      <c r="E8" s="53" t="s">
        <v>23</v>
      </c>
      <c r="F8" s="54" t="s">
        <v>139</v>
      </c>
    </row>
    <row r="9" ht="19.5" customHeight="1">
      <c r="A9" s="7">
        <v>4.0</v>
      </c>
      <c r="B9" s="19" t="s">
        <v>91</v>
      </c>
      <c r="C9" s="19" t="s">
        <v>25</v>
      </c>
      <c r="D9" s="19">
        <v>60.0</v>
      </c>
      <c r="E9" s="51" t="s">
        <v>23</v>
      </c>
      <c r="F9" s="54" t="s">
        <v>139</v>
      </c>
    </row>
    <row r="10" ht="18.0" customHeight="1">
      <c r="A10" s="7">
        <v>5.0</v>
      </c>
      <c r="B10" s="19" t="s">
        <v>92</v>
      </c>
      <c r="C10" s="19" t="s">
        <v>25</v>
      </c>
      <c r="D10" s="19">
        <v>45.0</v>
      </c>
      <c r="E10" s="51" t="s">
        <v>47</v>
      </c>
      <c r="F10" s="52"/>
    </row>
    <row r="11" ht="18.0" customHeight="1">
      <c r="A11" s="7">
        <v>6.0</v>
      </c>
      <c r="B11" s="15" t="s">
        <v>95</v>
      </c>
      <c r="C11" s="15" t="s">
        <v>17</v>
      </c>
      <c r="D11" s="15">
        <v>36.0</v>
      </c>
      <c r="E11" s="55" t="s">
        <v>19</v>
      </c>
      <c r="F11" s="56"/>
    </row>
    <row r="12" ht="33.75" customHeight="1">
      <c r="A12" s="7">
        <v>7.0</v>
      </c>
      <c r="B12" s="15" t="s">
        <v>98</v>
      </c>
      <c r="C12" s="15" t="s">
        <v>17</v>
      </c>
      <c r="D12" s="15">
        <v>36.0</v>
      </c>
      <c r="E12" s="55" t="s">
        <v>19</v>
      </c>
      <c r="F12" s="54" t="s">
        <v>140</v>
      </c>
    </row>
    <row r="14" ht="19.5" customHeight="1">
      <c r="A14" s="49" t="s">
        <v>121</v>
      </c>
      <c r="B14" s="2"/>
      <c r="C14" s="2"/>
      <c r="D14" s="2"/>
      <c r="E14" s="2"/>
      <c r="F14" s="3"/>
    </row>
    <row r="15" ht="21.75" customHeight="1">
      <c r="A15" s="26" t="s">
        <v>122</v>
      </c>
      <c r="B15" s="26" t="s">
        <v>54</v>
      </c>
      <c r="C15" s="26" t="s">
        <v>123</v>
      </c>
      <c r="D15" s="26" t="s">
        <v>124</v>
      </c>
      <c r="E15" s="26" t="s">
        <v>125</v>
      </c>
      <c r="F15" s="26" t="s">
        <v>126</v>
      </c>
    </row>
    <row r="16" ht="18.0" customHeight="1">
      <c r="A16" s="8" t="s">
        <v>13</v>
      </c>
      <c r="B16" s="14">
        <v>1.0</v>
      </c>
      <c r="C16" s="8" t="str">
        <f>ROUND(AVERAGE(D7),2)</f>
        <v>29</v>
      </c>
      <c r="D16" s="61" t="str">
        <f t="shared" ref="D16:D19" si="1">IF(ISNUMBER(C16),IF(C16&gt;=60,INT(C16/60)&amp;":"&amp;TEXT(MOD(ROUND(C16,0),60),"00"),TEXT(ROUND(C16,0),"0")&amp;"s"),"-")</f>
        <v>29s</v>
      </c>
      <c r="E16" s="14" t="str">
        <f>ROUND(MEDIAN(D7),2)</f>
        <v>29</v>
      </c>
      <c r="F16" s="14" t="str">
        <f>IFERROR(MODE(D7),"No mode")</f>
        <v>No mode</v>
      </c>
    </row>
    <row r="17" ht="18.0" customHeight="1">
      <c r="A17" s="15" t="s">
        <v>17</v>
      </c>
      <c r="B17" s="16">
        <v>2.0</v>
      </c>
      <c r="C17" s="15" t="str">
        <f>ROUND(AVERAGE(D11,D12),2)</f>
        <v>36</v>
      </c>
      <c r="D17" s="55" t="str">
        <f t="shared" si="1"/>
        <v>36s</v>
      </c>
      <c r="E17" s="16" t="str">
        <f>ROUND(MEDIAN(D11,D12),2)</f>
        <v>36</v>
      </c>
      <c r="F17" s="16" t="str">
        <f>IFERROR(MODE(D11,D12),"No mode")</f>
        <v>36</v>
      </c>
    </row>
    <row r="18" ht="18.0" customHeight="1">
      <c r="A18" s="17" t="s">
        <v>21</v>
      </c>
      <c r="B18" s="18">
        <v>1.0</v>
      </c>
      <c r="C18" s="17" t="str">
        <f>ROUND(AVERAGE(D8),2)</f>
        <v>60</v>
      </c>
      <c r="D18" s="53" t="str">
        <f t="shared" si="1"/>
        <v>1:00</v>
      </c>
      <c r="E18" s="18" t="str">
        <f>ROUND(MEDIAN(D8),2)</f>
        <v>60</v>
      </c>
      <c r="F18" s="18" t="str">
        <f>IFERROR(MODE(D8),"No mode")</f>
        <v>No mode</v>
      </c>
    </row>
    <row r="19" ht="18.0" customHeight="1">
      <c r="A19" s="19" t="s">
        <v>25</v>
      </c>
      <c r="B19" s="20">
        <v>3.0</v>
      </c>
      <c r="C19" s="19" t="str">
        <f>ROUND(AVERAGE(D6,D9,D10),2)</f>
        <v>50</v>
      </c>
      <c r="D19" s="51" t="str">
        <f t="shared" si="1"/>
        <v>50s</v>
      </c>
      <c r="E19" s="20" t="str">
        <f>ROUND(MEDIAN(D6,D9,D10),2)</f>
        <v>45</v>
      </c>
      <c r="F19" s="20" t="str">
        <f>IFERROR(MODE(D6,D9,D10),"No mode")</f>
        <v>45</v>
      </c>
    </row>
    <row r="21" ht="19.5" customHeight="1">
      <c r="A21" s="32" t="s">
        <v>127</v>
      </c>
      <c r="B21" s="2"/>
      <c r="C21" s="2"/>
      <c r="D21" s="2"/>
      <c r="E21" s="2"/>
      <c r="F21" s="3"/>
    </row>
    <row r="22" ht="18.0" customHeight="1">
      <c r="A22" s="33" t="s">
        <v>128</v>
      </c>
      <c r="B22" s="33" t="s">
        <v>129</v>
      </c>
      <c r="C22" s="33" t="s">
        <v>130</v>
      </c>
      <c r="D22" s="33" t="s">
        <v>65</v>
      </c>
    </row>
    <row r="23" ht="18.0" customHeight="1">
      <c r="A23" s="63" t="s">
        <v>131</v>
      </c>
      <c r="B23" s="64">
        <v>180.0</v>
      </c>
      <c r="C23" s="65" t="s">
        <v>72</v>
      </c>
      <c r="D23" s="66" t="s">
        <v>132</v>
      </c>
    </row>
    <row r="24" ht="21.75" customHeight="1">
      <c r="A24" s="71" t="s">
        <v>74</v>
      </c>
      <c r="B24" s="75">
        <v>180.0</v>
      </c>
      <c r="C24" s="75" t="s">
        <v>72</v>
      </c>
      <c r="D24" s="74" t="s">
        <v>135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1:F1"/>
    <mergeCell ref="A2:F2"/>
    <mergeCell ref="A3:F3"/>
    <mergeCell ref="A4:F4"/>
    <mergeCell ref="A14:F14"/>
    <mergeCell ref="A21:F21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2026-06-12T04:57:35Z</dcterms:created>
  <dc:creator>openpyxl</dc:creator>
  <dc:description/>
  <dc:language>en-US</dc:language>
  <cp:lastModifiedBy/>
  <dcterms:modified xsi:type="dcterms:W3CDTF">2026-06-12T04:57:35Z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