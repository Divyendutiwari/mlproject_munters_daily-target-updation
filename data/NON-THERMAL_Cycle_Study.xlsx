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vye\Downloads\"/>
    </mc:Choice>
  </mc:AlternateContent>
  <xr:revisionPtr revIDLastSave="0" documentId="8_{84C31075-9A09-4553-99BE-3A33D9A602B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MADA BM1 -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1" l="1"/>
  <c r="B33" i="1"/>
  <c r="F24" i="1"/>
  <c r="G24" i="1" s="1"/>
  <c r="C24" i="1"/>
  <c r="B24" i="1"/>
  <c r="F23" i="1"/>
  <c r="B23" i="1"/>
  <c r="G22" i="1"/>
  <c r="F22" i="1"/>
  <c r="B22" i="1"/>
  <c r="C22" i="1" s="1"/>
  <c r="F21" i="1"/>
  <c r="G21" i="1" s="1"/>
  <c r="B21" i="1"/>
  <c r="C21" i="1" s="1"/>
  <c r="F20" i="1"/>
  <c r="G20" i="1" s="1"/>
  <c r="B20" i="1"/>
  <c r="C20" i="1" s="1"/>
  <c r="F19" i="1"/>
  <c r="G19" i="1" s="1"/>
  <c r="B19" i="1"/>
  <c r="C19" i="1" s="1"/>
  <c r="F18" i="1"/>
  <c r="G18" i="1" s="1"/>
  <c r="B18" i="1"/>
  <c r="C18" i="1" s="1"/>
</calcChain>
</file>

<file path=xl/sharedStrings.xml><?xml version="1.0" encoding="utf-8"?>
<sst xmlns="http://schemas.openxmlformats.org/spreadsheetml/2006/main" count="99" uniqueCount="63">
  <si>
    <t>AMADA BM1 — Cycle Time Study  |  Job: Medium Sized Panels Bend  |  Part No.: 252060-03B-11</t>
  </si>
  <si>
    <t>⚠  NO-LOAD CONDITION OBSERVED FOR AT LEAST 17 MINUTES — NOT OBSERVED FURTHER. Load was piled up in AMADA BM2 (next to Shearing Machine). Management of job providing is too much broken.</t>
  </si>
  <si>
    <t>CYCLE TIME RAW DATA</t>
  </si>
  <si>
    <t>Cycle No.</t>
  </si>
  <si>
    <t>Net Bend Time
(sec)</t>
  </si>
  <si>
    <t>Net Bend Time
(mm:ss)</t>
  </si>
  <si>
    <t>Fitment Added
(sec)</t>
  </si>
  <si>
    <t>Total Observed
Time (sec)</t>
  </si>
  <si>
    <t>Total Observed
(mm:ss)</t>
  </si>
  <si>
    <t>Fitment Check?</t>
  </si>
  <si>
    <t>Remarks</t>
  </si>
  <si>
    <t>Cycle 1</t>
  </si>
  <si>
    <t>0:40</t>
  </si>
  <si>
    <t>1:40</t>
  </si>
  <si>
    <t>YES</t>
  </si>
  <si>
    <t>Cycle 2</t>
  </si>
  <si>
    <t>0:30</t>
  </si>
  <si>
    <t>-</t>
  </si>
  <si>
    <t>No</t>
  </si>
  <si>
    <t>Cycle 3</t>
  </si>
  <si>
    <t>Cycle 4</t>
  </si>
  <si>
    <t>0:38</t>
  </si>
  <si>
    <t>Cycle 5</t>
  </si>
  <si>
    <t>0:36</t>
  </si>
  <si>
    <t>1:36</t>
  </si>
  <si>
    <t>Cycle 6</t>
  </si>
  <si>
    <t>Cycle 7</t>
  </si>
  <si>
    <t>Cycle 8</t>
  </si>
  <si>
    <t>0:27</t>
  </si>
  <si>
    <t>STATISTICAL ANALYSIS  (auto-updates when any cycle time value changes)</t>
  </si>
  <si>
    <t>▶  WITHOUT Fitment (Net Bend Time)</t>
  </si>
  <si>
    <t>▶  WITH Fitment (Total Observed Time)</t>
  </si>
  <si>
    <t>Statistic</t>
  </si>
  <si>
    <t>Value (sec)</t>
  </si>
  <si>
    <t>mm:ss</t>
  </si>
  <si>
    <t>Mean</t>
  </si>
  <si>
    <t>Median</t>
  </si>
  <si>
    <t>Mode</t>
  </si>
  <si>
    <t>Min</t>
  </si>
  <si>
    <t>Max</t>
  </si>
  <si>
    <t>Count</t>
  </si>
  <si>
    <t>Total</t>
  </si>
  <si>
    <t>FITMENT TIME SUMMARY</t>
  </si>
  <si>
    <t>Metric</t>
  </si>
  <si>
    <t>Value</t>
  </si>
  <si>
    <t>Notes</t>
  </si>
  <si>
    <t>Fitment checks (cycles affected)</t>
  </si>
  <si>
    <t>Cycles 1 and 5</t>
  </si>
  <si>
    <t>Fitment deducted – Cycle 1 (sec)</t>
  </si>
  <si>
    <t>1:00 min</t>
  </si>
  <si>
    <t>Fitment deducted – Cycle 5 (sec)</t>
  </si>
  <si>
    <t>Total fitment time deducted (sec)</t>
  </si>
  <si>
    <t>2:00 min total</t>
  </si>
  <si>
    <t>Net total bend time (sec)</t>
  </si>
  <si>
    <t>All 8 cycles, no fitment</t>
  </si>
  <si>
    <t>Total observed time (sec)</t>
  </si>
  <si>
    <t>All 8 cycles incl. fitment</t>
  </si>
  <si>
    <t>Note: Cells in green columns (Net Bend) are the primary analysis values. All Mean / Median / Mode update automatically when you edit any time value.</t>
  </si>
  <si>
    <t>L</t>
  </si>
  <si>
    <t>M</t>
  </si>
  <si>
    <t>S</t>
  </si>
  <si>
    <t>XS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</si>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</sst>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libri"/>
      <scheme val="minor"/>
    </font>
    <font>
      <b/>
      <sz val="13"/>
      <color rgb="FFFFFFFF"/>
      <name val="Arial"/>
    </font>
    <font>
      <sz val="11"/>
      <name val="Calibri"/>
    </font>
    <font>
      <b/>
      <sz val="10"/>
      <color rgb="FFFF0000"/>
      <name val="Arial"/>
    </font>
    <font>
      <sz val="11"/>
      <name val="Calibri"/>
    </font>
    <font>
      <b/>
      <sz val="11"/>
      <color rgb="FFFFFFFF"/>
      <name val="Arial"/>
    </font>
    <font>
      <b/>
      <sz val="10"/>
      <color rgb="FF1F3864"/>
      <name val="Arial"/>
    </font>
    <font>
      <b/>
      <sz val="10"/>
      <color rgb="FF000000"/>
      <name val="Arial"/>
    </font>
    <font>
      <b/>
      <sz val="10"/>
      <color rgb="FF375623"/>
      <name val="Arial"/>
    </font>
    <font>
      <sz val="10"/>
      <color rgb="FF375623"/>
      <name val="Arial"/>
    </font>
    <font>
      <b/>
      <sz val="10"/>
      <color rgb="FFC00000"/>
      <name val="Arial"/>
    </font>
    <font>
      <sz val="10"/>
      <color rgb="FF000000"/>
      <name val="Arial"/>
    </font>
    <font>
      <i/>
      <sz val="9"/>
      <color rgb="FF7F6000"/>
      <name val="Arial"/>
    </font>
    <font>
      <sz val="10"/>
      <color rgb="FF555555"/>
      <name val="Arial"/>
    </font>
    <font>
      <sz val="9"/>
      <color rgb="FF555555"/>
      <name val="Arial"/>
    </font>
    <font>
      <b/>
      <sz val="10"/>
      <color rgb="FFFFFFFF"/>
      <name val="Arial"/>
    </font>
    <font>
      <i/>
      <sz val="9"/>
      <color rgb="FF595959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E6E6"/>
        <bgColor rgb="FFFFE6E6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EBF3FB"/>
        <bgColor rgb="FFEBF3FB"/>
      </patternFill>
    </fill>
    <fill>
      <patternFill patternType="solid">
        <fgColor rgb="FFE2EFDA"/>
        <bgColor rgb="FFE2EFDA"/>
      </patternFill>
    </fill>
    <fill>
      <patternFill patternType="solid">
        <fgColor rgb="FFFFE0E0"/>
        <bgColor rgb="FFFFE0E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EBF4E8"/>
        <bgColor rgb="FFEBF4E8"/>
      </patternFill>
    </fill>
    <fill>
      <patternFill patternType="solid">
        <fgColor rgb="FF7030A0"/>
        <bgColor rgb="FF7030A0"/>
      </patternFill>
    </fill>
    <fill>
      <patternFill patternType="solid">
        <fgColor rgb="FFD9B3FF"/>
        <bgColor rgb="FFD9B3FF"/>
      </patternFill>
    </fill>
    <fill>
      <patternFill patternType="solid">
        <fgColor rgb="FFF3E6FF"/>
        <bgColor rgb="FFF3E6FF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6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left" vertical="center" wrapText="1"/>
    </xf>
    <xf numFmtId="0" fontId="7" fillId="10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left" vertical="center" wrapText="1"/>
    </xf>
    <xf numFmtId="0" fontId="13" fillId="6" borderId="4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left" vertical="center" wrapText="1"/>
    </xf>
    <xf numFmtId="0" fontId="7" fillId="13" borderId="4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left" vertical="center"/>
    </xf>
    <xf numFmtId="0" fontId="9" fillId="14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/>
    </xf>
    <xf numFmtId="0" fontId="8" fillId="10" borderId="4" xfId="0" applyFont="1" applyFill="1" applyBorder="1" applyAlignment="1">
      <alignment horizontal="left" vertical="center"/>
    </xf>
    <xf numFmtId="0" fontId="9" fillId="10" borderId="4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left" vertical="center"/>
    </xf>
    <xf numFmtId="0" fontId="7" fillId="16" borderId="4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left" vertical="center"/>
    </xf>
    <xf numFmtId="0" fontId="11" fillId="17" borderId="4" xfId="0" applyFont="1" applyFill="1" applyBorder="1" applyAlignment="1">
      <alignment horizontal="center" vertical="center"/>
    </xf>
    <xf numFmtId="0" fontId="11" fillId="17" borderId="4" xfId="0" applyFont="1" applyFill="1" applyBorder="1" applyAlignment="1">
      <alignment horizontal="left" vertical="center"/>
    </xf>
    <xf numFmtId="0" fontId="11" fillId="10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tabSelected="1" workbookViewId="0">
      <selection activeCell="H10" sqref="H10"/>
    </sheetView>
  </sheetViews>
  <sheetFormatPr defaultColWidth="14.44140625" defaultRowHeight="15" customHeight="1"/>
  <cols>
    <col min="1" max="1" width="11" customWidth="1"/>
    <col min="2" max="2" width="16" customWidth="1"/>
    <col min="3" max="3" width="15" customWidth="1"/>
    <col min="4" max="4" width="17" customWidth="1"/>
    <col min="5" max="5" width="18" customWidth="1"/>
    <col min="6" max="7" width="16" customWidth="1"/>
    <col min="8" max="8" width="32" customWidth="1"/>
    <col min="9" max="11" width="8.6640625" customWidth="1"/>
  </cols>
  <sheetData>
    <row r="1" spans="1:8" ht="30" customHeight="1">
      <c r="A1" s="28" t="s">
        <v>0</v>
      </c>
      <c r="B1" s="29"/>
      <c r="C1" s="29"/>
      <c r="D1" s="29"/>
      <c r="E1" s="29"/>
      <c r="F1" s="29"/>
      <c r="G1" s="29"/>
      <c r="H1" s="30"/>
    </row>
    <row r="2" spans="1:8" ht="43.5" customHeight="1">
      <c r="A2" s="31" t="s">
        <v>1</v>
      </c>
      <c r="B2" s="29"/>
      <c r="C2" s="29"/>
      <c r="D2" s="29"/>
      <c r="E2" s="29"/>
      <c r="F2" s="29"/>
      <c r="G2" s="29"/>
      <c r="H2" s="30"/>
    </row>
    <row r="3" spans="1:8" ht="6" customHeight="1">
      <c r="A3" s="1"/>
      <c r="B3" s="1"/>
      <c r="C3" s="1"/>
      <c r="D3" s="1"/>
      <c r="E3" s="1"/>
      <c r="F3" s="1"/>
      <c r="G3" s="1"/>
      <c r="H3" s="1"/>
    </row>
    <row r="4" spans="1:8" ht="21.75" customHeight="1">
      <c r="A4" s="32" t="s">
        <v>2</v>
      </c>
      <c r="B4" s="29"/>
      <c r="C4" s="29"/>
      <c r="D4" s="29"/>
      <c r="E4" s="29"/>
      <c r="F4" s="29"/>
      <c r="G4" s="29"/>
      <c r="H4" s="30"/>
    </row>
    <row r="5" spans="1:8" ht="31.5" customHeight="1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18" customHeight="1">
      <c r="A6" s="3" t="s">
        <v>11</v>
      </c>
      <c r="B6" s="4">
        <v>40</v>
      </c>
      <c r="C6" s="5" t="s">
        <v>12</v>
      </c>
      <c r="D6" s="6">
        <v>60</v>
      </c>
      <c r="E6" s="7">
        <v>100</v>
      </c>
      <c r="F6" s="7" t="s">
        <v>13</v>
      </c>
      <c r="G6" s="6" t="s">
        <v>14</v>
      </c>
      <c r="H6" s="8" t="s">
        <v>62</v>
      </c>
    </row>
    <row r="7" spans="1:8" ht="18" customHeight="1">
      <c r="A7" s="9" t="s">
        <v>15</v>
      </c>
      <c r="B7" s="4">
        <v>30</v>
      </c>
      <c r="C7" s="5" t="s">
        <v>16</v>
      </c>
      <c r="D7" s="10" t="s">
        <v>17</v>
      </c>
      <c r="E7" s="10">
        <v>30</v>
      </c>
      <c r="F7" s="10" t="s">
        <v>16</v>
      </c>
      <c r="G7" s="11" t="s">
        <v>18</v>
      </c>
      <c r="H7" s="12" t="s">
        <v>58</v>
      </c>
    </row>
    <row r="8" spans="1:8" ht="18" customHeight="1">
      <c r="A8" s="3" t="s">
        <v>19</v>
      </c>
      <c r="B8" s="4">
        <v>30</v>
      </c>
      <c r="C8" s="5" t="s">
        <v>16</v>
      </c>
      <c r="D8" s="7" t="s">
        <v>17</v>
      </c>
      <c r="E8" s="7">
        <v>30</v>
      </c>
      <c r="F8" s="7" t="s">
        <v>16</v>
      </c>
      <c r="G8" s="13" t="s">
        <v>18</v>
      </c>
      <c r="H8" s="14" t="s">
        <v>58</v>
      </c>
    </row>
    <row r="9" spans="1:8" ht="18" customHeight="1">
      <c r="A9" s="9" t="s">
        <v>20</v>
      </c>
      <c r="B9" s="4">
        <v>38</v>
      </c>
      <c r="C9" s="5" t="s">
        <v>21</v>
      </c>
      <c r="D9" s="10" t="s">
        <v>17</v>
      </c>
      <c r="E9" s="10">
        <v>38</v>
      </c>
      <c r="F9" s="10" t="s">
        <v>21</v>
      </c>
      <c r="G9" s="11" t="s">
        <v>18</v>
      </c>
      <c r="H9" s="12" t="s">
        <v>59</v>
      </c>
    </row>
    <row r="10" spans="1:8" ht="18" customHeight="1">
      <c r="A10" s="3" t="s">
        <v>22</v>
      </c>
      <c r="B10" s="4">
        <v>36</v>
      </c>
      <c r="C10" s="5" t="s">
        <v>23</v>
      </c>
      <c r="D10" s="6">
        <v>60</v>
      </c>
      <c r="E10" s="7">
        <v>96</v>
      </c>
      <c r="F10" s="7" t="s">
        <v>24</v>
      </c>
      <c r="G10" s="6" t="s">
        <v>14</v>
      </c>
      <c r="H10" s="8" t="s">
        <v>62</v>
      </c>
    </row>
    <row r="11" spans="1:8" ht="18" customHeight="1">
      <c r="A11" s="9" t="s">
        <v>25</v>
      </c>
      <c r="B11" s="4">
        <v>36</v>
      </c>
      <c r="C11" s="5" t="s">
        <v>23</v>
      </c>
      <c r="D11" s="10" t="s">
        <v>17</v>
      </c>
      <c r="E11" s="10">
        <v>36</v>
      </c>
      <c r="F11" s="10" t="s">
        <v>23</v>
      </c>
      <c r="G11" s="11" t="s">
        <v>18</v>
      </c>
      <c r="H11" s="12" t="s">
        <v>60</v>
      </c>
    </row>
    <row r="12" spans="1:8" ht="18" customHeight="1">
      <c r="A12" s="3" t="s">
        <v>26</v>
      </c>
      <c r="B12" s="4">
        <v>30</v>
      </c>
      <c r="C12" s="5" t="s">
        <v>16</v>
      </c>
      <c r="D12" s="7" t="s">
        <v>17</v>
      </c>
      <c r="E12" s="7">
        <v>30</v>
      </c>
      <c r="F12" s="7" t="s">
        <v>16</v>
      </c>
      <c r="G12" s="13" t="s">
        <v>18</v>
      </c>
      <c r="H12" s="14" t="s">
        <v>60</v>
      </c>
    </row>
    <row r="13" spans="1:8" ht="18" customHeight="1">
      <c r="A13" s="9" t="s">
        <v>27</v>
      </c>
      <c r="B13" s="4">
        <v>27</v>
      </c>
      <c r="C13" s="5" t="s">
        <v>28</v>
      </c>
      <c r="D13" s="10" t="s">
        <v>17</v>
      </c>
      <c r="E13" s="10">
        <v>27</v>
      </c>
      <c r="F13" s="10" t="s">
        <v>28</v>
      </c>
      <c r="G13" s="11" t="s">
        <v>18</v>
      </c>
      <c r="H13" s="12" t="s">
        <v>61</v>
      </c>
    </row>
    <row r="14" spans="1:8" ht="14.4">
      <c r="A14" s="1"/>
      <c r="B14" s="1"/>
      <c r="C14" s="1"/>
      <c r="D14" s="1"/>
      <c r="E14" s="1"/>
      <c r="F14" s="1"/>
      <c r="G14" s="1"/>
      <c r="H14" s="1"/>
    </row>
    <row r="15" spans="1:8" ht="21.75" customHeight="1">
      <c r="A15" s="32" t="s">
        <v>29</v>
      </c>
      <c r="B15" s="29"/>
      <c r="C15" s="29"/>
      <c r="D15" s="29"/>
      <c r="E15" s="29"/>
      <c r="F15" s="29"/>
      <c r="G15" s="29"/>
      <c r="H15" s="30"/>
    </row>
    <row r="16" spans="1:8" ht="19.5" customHeight="1">
      <c r="A16" s="33" t="s">
        <v>30</v>
      </c>
      <c r="B16" s="29"/>
      <c r="C16" s="30"/>
      <c r="D16" s="1"/>
      <c r="E16" s="34" t="s">
        <v>31</v>
      </c>
      <c r="F16" s="29"/>
      <c r="G16" s="30"/>
      <c r="H16" s="1"/>
    </row>
    <row r="17" spans="1:8" ht="18" customHeight="1">
      <c r="A17" s="15" t="s">
        <v>32</v>
      </c>
      <c r="B17" s="15" t="s">
        <v>33</v>
      </c>
      <c r="C17" s="15" t="s">
        <v>34</v>
      </c>
      <c r="D17" s="1"/>
      <c r="E17" s="16" t="s">
        <v>32</v>
      </c>
      <c r="F17" s="16" t="s">
        <v>33</v>
      </c>
      <c r="G17" s="16" t="s">
        <v>34</v>
      </c>
      <c r="H17" s="1"/>
    </row>
    <row r="18" spans="1:8" ht="18" customHeight="1">
      <c r="A18" s="17" t="s">
        <v>35</v>
      </c>
      <c r="B18" s="18">
        <f>ROUND(AVERAGE(B6:B13),2)</f>
        <v>33.380000000000003</v>
      </c>
      <c r="C18" s="18" t="str">
        <f t="shared" ref="C18:C22" si="0">IF(ISNUMBER(B18),IF(B18&gt;=60,INT(B18/60)&amp;":"&amp;TEXT(MOD(ROUND(B18,0),60),"00"),TEXT(ROUND(B18,2),"0.00")&amp;"s"),"-")</f>
        <v>33.38s</v>
      </c>
      <c r="D18" s="1"/>
      <c r="E18" s="19" t="s">
        <v>35</v>
      </c>
      <c r="F18" s="7">
        <f>ROUND(AVERAGE(E6:E13),2)</f>
        <v>48.38</v>
      </c>
      <c r="G18" s="7" t="str">
        <f t="shared" ref="G18:G22" si="1">IF(ISNUMBER(F18),IF(F18&gt;=60,INT(F18/60)&amp;":"&amp;TEXT(MOD(ROUND(F18,0),60),"00"),TEXT(ROUND(F18,2),"0.00")&amp;"s"),"-")</f>
        <v>48.38s</v>
      </c>
      <c r="H18" s="1"/>
    </row>
    <row r="19" spans="1:8" ht="18" customHeight="1">
      <c r="A19" s="20" t="s">
        <v>36</v>
      </c>
      <c r="B19" s="21">
        <f>ROUND(MEDIAN(B6:B13),2)</f>
        <v>33</v>
      </c>
      <c r="C19" s="21" t="str">
        <f t="shared" si="0"/>
        <v>33.00s</v>
      </c>
      <c r="D19" s="1"/>
      <c r="E19" s="22" t="s">
        <v>36</v>
      </c>
      <c r="F19" s="10">
        <f>ROUND(MEDIAN(E6:E13),2)</f>
        <v>33</v>
      </c>
      <c r="G19" s="10" t="str">
        <f t="shared" si="1"/>
        <v>33.00s</v>
      </c>
      <c r="H19" s="1"/>
    </row>
    <row r="20" spans="1:8" ht="18" customHeight="1">
      <c r="A20" s="17" t="s">
        <v>37</v>
      </c>
      <c r="B20" s="18">
        <f>IFERROR(MODE(B6:B13),"No mode")</f>
        <v>30</v>
      </c>
      <c r="C20" s="18" t="str">
        <f t="shared" si="0"/>
        <v>30.00s</v>
      </c>
      <c r="D20" s="1"/>
      <c r="E20" s="19" t="s">
        <v>37</v>
      </c>
      <c r="F20" s="7">
        <f>IFERROR(MODE(E6:E13),"No mode")</f>
        <v>30</v>
      </c>
      <c r="G20" s="7" t="str">
        <f t="shared" si="1"/>
        <v>30.00s</v>
      </c>
      <c r="H20" s="1"/>
    </row>
    <row r="21" spans="1:8" ht="18" customHeight="1">
      <c r="A21" s="20" t="s">
        <v>38</v>
      </c>
      <c r="B21" s="21">
        <f>MIN(B6:B13)</f>
        <v>27</v>
      </c>
      <c r="C21" s="21" t="str">
        <f t="shared" si="0"/>
        <v>27.00s</v>
      </c>
      <c r="D21" s="1"/>
      <c r="E21" s="22" t="s">
        <v>38</v>
      </c>
      <c r="F21" s="10">
        <f>MIN(E6:E13)</f>
        <v>27</v>
      </c>
      <c r="G21" s="10" t="str">
        <f t="shared" si="1"/>
        <v>27.00s</v>
      </c>
      <c r="H21" s="1"/>
    </row>
    <row r="22" spans="1:8" ht="18" customHeight="1">
      <c r="A22" s="17" t="s">
        <v>39</v>
      </c>
      <c r="B22" s="18">
        <f>MAX(B6:B13)</f>
        <v>40</v>
      </c>
      <c r="C22" s="18" t="str">
        <f t="shared" si="0"/>
        <v>40.00s</v>
      </c>
      <c r="D22" s="1"/>
      <c r="E22" s="19" t="s">
        <v>39</v>
      </c>
      <c r="F22" s="7">
        <f>MAX(E6:E13)</f>
        <v>100</v>
      </c>
      <c r="G22" s="7" t="str">
        <f t="shared" si="1"/>
        <v>1:40</v>
      </c>
      <c r="H22" s="1"/>
    </row>
    <row r="23" spans="1:8" ht="18" customHeight="1">
      <c r="A23" s="20" t="s">
        <v>40</v>
      </c>
      <c r="B23" s="21">
        <f>COUNT(B6:B13)</f>
        <v>8</v>
      </c>
      <c r="C23" s="10" t="s">
        <v>17</v>
      </c>
      <c r="D23" s="1"/>
      <c r="E23" s="22" t="s">
        <v>40</v>
      </c>
      <c r="F23" s="10">
        <f>COUNT(E6:E13)</f>
        <v>8</v>
      </c>
      <c r="G23" s="10" t="s">
        <v>17</v>
      </c>
      <c r="H23" s="1"/>
    </row>
    <row r="24" spans="1:8" ht="18" customHeight="1">
      <c r="A24" s="17" t="s">
        <v>41</v>
      </c>
      <c r="B24" s="18">
        <f>SUM(B6:B13)</f>
        <v>267</v>
      </c>
      <c r="C24" s="18" t="str">
        <f>IF(ISNUMBER(B24),IF(B24&gt;=60,INT(B24/60)&amp;":"&amp;TEXT(MOD(ROUND(B24,0),60),"00"),TEXT(ROUND(B24,2),"0.00")&amp;"s"),"-")</f>
        <v>4:27</v>
      </c>
      <c r="D24" s="1"/>
      <c r="E24" s="19" t="s">
        <v>41</v>
      </c>
      <c r="F24" s="7">
        <f>SUM(E6:E13)</f>
        <v>387</v>
      </c>
      <c r="G24" s="7" t="str">
        <f>IF(ISNUMBER(F24),IF(F24&gt;=60,INT(F24/60)&amp;":"&amp;TEXT(MOD(ROUND(F24,0),60),"00"),TEXT(ROUND(F24,2),"0.00")&amp;"s"),"-")</f>
        <v>6:27</v>
      </c>
      <c r="H24" s="1"/>
    </row>
    <row r="25" spans="1:8" ht="15.75" customHeight="1">
      <c r="A25" s="1"/>
      <c r="B25" s="1"/>
      <c r="C25" s="1"/>
      <c r="D25" s="1"/>
      <c r="E25" s="1"/>
      <c r="F25" s="1"/>
      <c r="G25" s="1"/>
      <c r="H25" s="1"/>
    </row>
    <row r="26" spans="1:8" ht="15.75" customHeight="1">
      <c r="A26" s="1"/>
      <c r="B26" s="1"/>
      <c r="C26" s="1"/>
      <c r="D26" s="1"/>
      <c r="E26" s="1"/>
      <c r="F26" s="1"/>
      <c r="G26" s="1"/>
      <c r="H26" s="1"/>
    </row>
    <row r="27" spans="1:8" ht="21.75" customHeight="1">
      <c r="A27" s="35" t="s">
        <v>42</v>
      </c>
      <c r="B27" s="29"/>
      <c r="C27" s="29"/>
      <c r="D27" s="29"/>
      <c r="E27" s="29"/>
      <c r="F27" s="29"/>
      <c r="G27" s="29"/>
      <c r="H27" s="30"/>
    </row>
    <row r="28" spans="1:8" ht="18" customHeight="1">
      <c r="A28" s="23" t="s">
        <v>43</v>
      </c>
      <c r="B28" s="23" t="s">
        <v>44</v>
      </c>
      <c r="C28" s="23" t="s">
        <v>45</v>
      </c>
      <c r="D28" s="1"/>
      <c r="E28" s="1"/>
      <c r="F28" s="1"/>
      <c r="G28" s="1"/>
      <c r="H28" s="1"/>
    </row>
    <row r="29" spans="1:8" ht="18" customHeight="1">
      <c r="A29" s="24" t="s">
        <v>46</v>
      </c>
      <c r="B29" s="25">
        <v>2</v>
      </c>
      <c r="C29" s="26" t="s">
        <v>47</v>
      </c>
      <c r="D29" s="1"/>
      <c r="E29" s="1"/>
      <c r="F29" s="1"/>
      <c r="G29" s="1"/>
      <c r="H29" s="1"/>
    </row>
    <row r="30" spans="1:8" ht="18" customHeight="1">
      <c r="A30" s="22" t="s">
        <v>48</v>
      </c>
      <c r="B30" s="10">
        <v>60</v>
      </c>
      <c r="C30" s="27" t="s">
        <v>49</v>
      </c>
      <c r="D30" s="1"/>
      <c r="E30" s="1"/>
      <c r="F30" s="1"/>
      <c r="G30" s="1"/>
      <c r="H30" s="1"/>
    </row>
    <row r="31" spans="1:8" ht="18" customHeight="1">
      <c r="A31" s="24" t="s">
        <v>50</v>
      </c>
      <c r="B31" s="25">
        <v>60</v>
      </c>
      <c r="C31" s="26" t="s">
        <v>49</v>
      </c>
      <c r="D31" s="1"/>
      <c r="E31" s="1"/>
      <c r="F31" s="1"/>
      <c r="G31" s="1"/>
      <c r="H31" s="1"/>
    </row>
    <row r="32" spans="1:8" ht="18" customHeight="1">
      <c r="A32" s="22" t="s">
        <v>51</v>
      </c>
      <c r="B32" s="10">
        <v>120</v>
      </c>
      <c r="C32" s="27" t="s">
        <v>52</v>
      </c>
      <c r="D32" s="1"/>
      <c r="E32" s="1"/>
      <c r="F32" s="1"/>
      <c r="G32" s="1"/>
      <c r="H32" s="1"/>
    </row>
    <row r="33" spans="1:8" ht="18" customHeight="1">
      <c r="A33" s="24" t="s">
        <v>53</v>
      </c>
      <c r="B33" s="25">
        <f>SUM(B6:B13)</f>
        <v>267</v>
      </c>
      <c r="C33" s="26" t="s">
        <v>54</v>
      </c>
      <c r="D33" s="1"/>
      <c r="E33" s="1"/>
      <c r="F33" s="1"/>
      <c r="G33" s="1"/>
      <c r="H33" s="1"/>
    </row>
    <row r="34" spans="1:8" ht="18" customHeight="1">
      <c r="A34" s="22" t="s">
        <v>55</v>
      </c>
      <c r="B34" s="10">
        <f>SUM(E6:E13)</f>
        <v>387</v>
      </c>
      <c r="C34" s="27" t="s">
        <v>56</v>
      </c>
      <c r="D34" s="1"/>
      <c r="E34" s="1"/>
      <c r="F34" s="1"/>
      <c r="G34" s="1"/>
      <c r="H34" s="1"/>
    </row>
    <row r="35" spans="1:8" ht="15.75" customHeight="1">
      <c r="A35" s="1"/>
      <c r="B35" s="1"/>
      <c r="C35" s="1"/>
      <c r="D35" s="1"/>
      <c r="E35" s="1"/>
      <c r="F35" s="1"/>
      <c r="G35" s="1"/>
      <c r="H35" s="1"/>
    </row>
    <row r="36" spans="1:8" ht="15.75" customHeight="1">
      <c r="A36" s="1"/>
      <c r="B36" s="1"/>
      <c r="C36" s="1"/>
      <c r="D36" s="1"/>
      <c r="E36" s="1"/>
      <c r="F36" s="1"/>
      <c r="G36" s="1"/>
      <c r="H36" s="1"/>
    </row>
    <row r="37" spans="1:8" ht="18" customHeight="1">
      <c r="A37" s="36" t="s">
        <v>57</v>
      </c>
      <c r="B37" s="29"/>
      <c r="C37" s="29"/>
      <c r="D37" s="29"/>
      <c r="E37" s="29"/>
      <c r="F37" s="29"/>
      <c r="G37" s="29"/>
      <c r="H37" s="30"/>
    </row>
    <row r="38" spans="1:8" ht="15.75" customHeight="1">
      <c r="A38" s="1"/>
      <c r="B38" s="1"/>
      <c r="C38" s="1"/>
      <c r="D38" s="1"/>
      <c r="E38" s="1"/>
      <c r="F38" s="1"/>
      <c r="G38" s="1"/>
      <c r="H38" s="1"/>
    </row>
    <row r="39" spans="1:8" ht="15.75" customHeight="1">
      <c r="A39" s="1"/>
      <c r="B39" s="1"/>
      <c r="C39" s="1"/>
      <c r="D39" s="1"/>
      <c r="E39" s="1"/>
      <c r="F39" s="1"/>
      <c r="G39" s="1"/>
      <c r="H39" s="1"/>
    </row>
    <row r="40" spans="1:8" ht="15.75" customHeight="1">
      <c r="A40" s="1"/>
      <c r="B40" s="1"/>
      <c r="C40" s="1"/>
      <c r="D40" s="1"/>
      <c r="E40" s="1"/>
      <c r="F40" s="1"/>
      <c r="G40" s="1"/>
      <c r="H40" s="1"/>
    </row>
    <row r="41" spans="1:8" ht="15.75" customHeight="1">
      <c r="A41" s="1"/>
      <c r="B41" s="1"/>
      <c r="C41" s="1"/>
      <c r="D41" s="1"/>
      <c r="E41" s="1"/>
      <c r="F41" s="1"/>
      <c r="G41" s="1"/>
      <c r="H41" s="1"/>
    </row>
    <row r="42" spans="1:8" ht="15.75" customHeight="1">
      <c r="A42" s="1"/>
      <c r="B42" s="1"/>
      <c r="C42" s="1"/>
      <c r="D42" s="1"/>
      <c r="E42" s="1"/>
      <c r="F42" s="1"/>
      <c r="G42" s="1"/>
      <c r="H42" s="1"/>
    </row>
    <row r="43" spans="1:8" ht="15.75" customHeight="1">
      <c r="A43" s="1"/>
      <c r="B43" s="1"/>
      <c r="C43" s="1"/>
      <c r="D43" s="1"/>
      <c r="E43" s="1"/>
      <c r="F43" s="1"/>
      <c r="G43" s="1"/>
      <c r="H43" s="1"/>
    </row>
    <row r="44" spans="1:8" ht="15.75" customHeight="1">
      <c r="A44" s="1"/>
      <c r="B44" s="1"/>
      <c r="C44" s="1"/>
      <c r="D44" s="1"/>
      <c r="E44" s="1"/>
      <c r="F44" s="1"/>
      <c r="G44" s="1"/>
      <c r="H44" s="1"/>
    </row>
    <row r="45" spans="1:8" ht="15.75" customHeight="1">
      <c r="A45" s="1"/>
      <c r="B45" s="1"/>
      <c r="C45" s="1"/>
      <c r="D45" s="1"/>
      <c r="E45" s="1"/>
      <c r="F45" s="1"/>
      <c r="G45" s="1"/>
      <c r="H45" s="1"/>
    </row>
    <row r="46" spans="1:8" ht="15.75" customHeight="1">
      <c r="A46" s="1"/>
      <c r="B46" s="1"/>
      <c r="C46" s="1"/>
      <c r="D46" s="1"/>
      <c r="E46" s="1"/>
      <c r="F46" s="1"/>
      <c r="G46" s="1"/>
      <c r="H46" s="1"/>
    </row>
    <row r="47" spans="1:8" ht="15.75" customHeight="1">
      <c r="A47" s="1"/>
      <c r="B47" s="1"/>
      <c r="C47" s="1"/>
      <c r="D47" s="1"/>
      <c r="E47" s="1"/>
      <c r="F47" s="1"/>
      <c r="G47" s="1"/>
      <c r="H47" s="1"/>
    </row>
    <row r="48" spans="1:8" ht="15.75" customHeight="1">
      <c r="A48" s="1"/>
      <c r="B48" s="1"/>
      <c r="C48" s="1"/>
      <c r="D48" s="1"/>
      <c r="E48" s="1"/>
      <c r="F48" s="1"/>
      <c r="G48" s="1"/>
      <c r="H48" s="1"/>
    </row>
    <row r="49" spans="1:8" ht="15.75" customHeight="1">
      <c r="A49" s="1"/>
      <c r="B49" s="1"/>
      <c r="C49" s="1"/>
      <c r="D49" s="1"/>
      <c r="E49" s="1"/>
      <c r="F49" s="1"/>
      <c r="G49" s="1"/>
      <c r="H49" s="1"/>
    </row>
    <row r="50" spans="1:8" ht="15.75" customHeight="1">
      <c r="A50" s="1"/>
      <c r="B50" s="1"/>
      <c r="C50" s="1"/>
      <c r="D50" s="1"/>
      <c r="E50" s="1"/>
      <c r="F50" s="1"/>
      <c r="G50" s="1"/>
      <c r="H50" s="1"/>
    </row>
    <row r="51" spans="1:8" ht="15.75" customHeight="1">
      <c r="A51" s="1"/>
      <c r="B51" s="1"/>
      <c r="C51" s="1"/>
      <c r="D51" s="1"/>
      <c r="E51" s="1"/>
      <c r="F51" s="1"/>
      <c r="G51" s="1"/>
      <c r="H51" s="1"/>
    </row>
    <row r="52" spans="1:8" ht="15.75" customHeight="1">
      <c r="A52" s="1"/>
      <c r="B52" s="1"/>
      <c r="C52" s="1"/>
      <c r="D52" s="1"/>
      <c r="E52" s="1"/>
      <c r="F52" s="1"/>
      <c r="G52" s="1"/>
      <c r="H52" s="1"/>
    </row>
    <row r="53" spans="1:8" ht="15.75" customHeight="1">
      <c r="A53" s="1"/>
      <c r="B53" s="1"/>
      <c r="C53" s="1"/>
      <c r="D53" s="1"/>
      <c r="E53" s="1"/>
      <c r="F53" s="1"/>
      <c r="G53" s="1"/>
      <c r="H53" s="1"/>
    </row>
    <row r="54" spans="1:8" ht="15.75" customHeight="1">
      <c r="A54" s="1"/>
      <c r="B54" s="1"/>
      <c r="C54" s="1"/>
      <c r="D54" s="1"/>
      <c r="E54" s="1"/>
      <c r="F54" s="1"/>
      <c r="G54" s="1"/>
      <c r="H54" s="1"/>
    </row>
    <row r="55" spans="1:8" ht="15.75" customHeight="1">
      <c r="A55" s="1"/>
      <c r="B55" s="1"/>
      <c r="C55" s="1"/>
      <c r="D55" s="1"/>
      <c r="E55" s="1"/>
      <c r="F55" s="1"/>
      <c r="G55" s="1"/>
      <c r="H55" s="1"/>
    </row>
    <row r="56" spans="1:8" ht="15.75" customHeight="1">
      <c r="A56" s="1"/>
      <c r="B56" s="1"/>
      <c r="C56" s="1"/>
      <c r="D56" s="1"/>
      <c r="E56" s="1"/>
      <c r="F56" s="1"/>
      <c r="G56" s="1"/>
      <c r="H56" s="1"/>
    </row>
    <row r="57" spans="1:8" ht="15.75" customHeight="1">
      <c r="A57" s="1"/>
      <c r="B57" s="1"/>
      <c r="C57" s="1"/>
      <c r="D57" s="1"/>
      <c r="E57" s="1"/>
      <c r="F57" s="1"/>
      <c r="G57" s="1"/>
      <c r="H57" s="1"/>
    </row>
    <row r="58" spans="1:8" ht="15.75" customHeight="1">
      <c r="A58" s="1"/>
      <c r="B58" s="1"/>
      <c r="C58" s="1"/>
      <c r="D58" s="1"/>
      <c r="E58" s="1"/>
      <c r="F58" s="1"/>
      <c r="G58" s="1"/>
      <c r="H58" s="1"/>
    </row>
    <row r="59" spans="1:8" ht="15.75" customHeight="1">
      <c r="A59" s="1"/>
      <c r="B59" s="1"/>
      <c r="C59" s="1"/>
      <c r="D59" s="1"/>
      <c r="E59" s="1"/>
      <c r="F59" s="1"/>
      <c r="G59" s="1"/>
      <c r="H59" s="1"/>
    </row>
    <row r="60" spans="1:8" ht="15.75" customHeight="1">
      <c r="A60" s="1"/>
      <c r="B60" s="1"/>
      <c r="C60" s="1"/>
      <c r="D60" s="1"/>
      <c r="E60" s="1"/>
      <c r="F60" s="1"/>
      <c r="G60" s="1"/>
      <c r="H60" s="1"/>
    </row>
    <row r="61" spans="1:8" ht="15.75" customHeight="1">
      <c r="A61" s="1"/>
      <c r="B61" s="1"/>
      <c r="C61" s="1"/>
      <c r="D61" s="1"/>
      <c r="E61" s="1"/>
      <c r="F61" s="1"/>
      <c r="G61" s="1"/>
      <c r="H61" s="1"/>
    </row>
    <row r="62" spans="1:8" ht="15.75" customHeight="1">
      <c r="A62" s="1"/>
      <c r="B62" s="1"/>
      <c r="C62" s="1"/>
      <c r="D62" s="1"/>
      <c r="E62" s="1"/>
      <c r="F62" s="1"/>
      <c r="G62" s="1"/>
      <c r="H62" s="1"/>
    </row>
    <row r="63" spans="1:8" ht="15.75" customHeight="1">
      <c r="A63" s="1"/>
      <c r="B63" s="1"/>
      <c r="C63" s="1"/>
      <c r="D63" s="1"/>
      <c r="E63" s="1"/>
      <c r="F63" s="1"/>
      <c r="G63" s="1"/>
      <c r="H63" s="1"/>
    </row>
    <row r="64" spans="1:8" ht="15.75" customHeight="1">
      <c r="A64" s="1"/>
      <c r="B64" s="1"/>
      <c r="C64" s="1"/>
      <c r="D64" s="1"/>
      <c r="E64" s="1"/>
      <c r="F64" s="1"/>
      <c r="G64" s="1"/>
      <c r="H64" s="1"/>
    </row>
    <row r="65" spans="1:8" ht="15.75" customHeight="1">
      <c r="A65" s="1"/>
      <c r="B65" s="1"/>
      <c r="C65" s="1"/>
      <c r="D65" s="1"/>
      <c r="E65" s="1"/>
      <c r="F65" s="1"/>
      <c r="G65" s="1"/>
      <c r="H65" s="1"/>
    </row>
    <row r="66" spans="1:8" ht="15.75" customHeight="1">
      <c r="A66" s="1"/>
      <c r="B66" s="1"/>
      <c r="C66" s="1"/>
      <c r="D66" s="1"/>
      <c r="E66" s="1"/>
      <c r="F66" s="1"/>
      <c r="G66" s="1"/>
      <c r="H66" s="1"/>
    </row>
    <row r="67" spans="1:8" ht="15.75" customHeight="1">
      <c r="A67" s="1"/>
      <c r="B67" s="1"/>
      <c r="C67" s="1"/>
      <c r="D67" s="1"/>
      <c r="E67" s="1"/>
      <c r="F67" s="1"/>
      <c r="G67" s="1"/>
      <c r="H67" s="1"/>
    </row>
    <row r="68" spans="1:8" ht="15.75" customHeight="1">
      <c r="A68" s="1"/>
      <c r="B68" s="1"/>
      <c r="C68" s="1"/>
      <c r="D68" s="1"/>
      <c r="E68" s="1"/>
      <c r="F68" s="1"/>
      <c r="G68" s="1"/>
      <c r="H68" s="1"/>
    </row>
    <row r="69" spans="1:8" ht="15.75" customHeight="1">
      <c r="A69" s="1"/>
      <c r="B69" s="1"/>
      <c r="C69" s="1"/>
      <c r="D69" s="1"/>
      <c r="E69" s="1"/>
      <c r="F69" s="1"/>
      <c r="G69" s="1"/>
      <c r="H69" s="1"/>
    </row>
    <row r="70" spans="1:8" ht="15.75" customHeight="1">
      <c r="A70" s="1"/>
      <c r="B70" s="1"/>
      <c r="C70" s="1"/>
      <c r="D70" s="1"/>
      <c r="E70" s="1"/>
      <c r="F70" s="1"/>
      <c r="G70" s="1"/>
      <c r="H70" s="1"/>
    </row>
    <row r="71" spans="1:8" ht="15.75" customHeight="1">
      <c r="A71" s="1"/>
      <c r="B71" s="1"/>
      <c r="C71" s="1"/>
      <c r="D71" s="1"/>
      <c r="E71" s="1"/>
      <c r="F71" s="1"/>
      <c r="G71" s="1"/>
      <c r="H71" s="1"/>
    </row>
    <row r="72" spans="1:8" ht="15.75" customHeight="1">
      <c r="A72" s="1"/>
      <c r="B72" s="1"/>
      <c r="C72" s="1"/>
      <c r="D72" s="1"/>
      <c r="E72" s="1"/>
      <c r="F72" s="1"/>
      <c r="G72" s="1"/>
      <c r="H72" s="1"/>
    </row>
    <row r="73" spans="1:8" ht="15.75" customHeight="1">
      <c r="A73" s="1"/>
      <c r="B73" s="1"/>
      <c r="C73" s="1"/>
      <c r="D73" s="1"/>
      <c r="E73" s="1"/>
      <c r="F73" s="1"/>
      <c r="G73" s="1"/>
      <c r="H73" s="1"/>
    </row>
    <row r="74" spans="1:8" ht="15.75" customHeight="1">
      <c r="A74" s="1"/>
      <c r="B74" s="1"/>
      <c r="C74" s="1"/>
      <c r="D74" s="1"/>
      <c r="E74" s="1"/>
      <c r="F74" s="1"/>
      <c r="G74" s="1"/>
      <c r="H74" s="1"/>
    </row>
    <row r="75" spans="1:8" ht="15.75" customHeight="1">
      <c r="A75" s="1"/>
      <c r="B75" s="1"/>
      <c r="C75" s="1"/>
      <c r="D75" s="1"/>
      <c r="E75" s="1"/>
      <c r="F75" s="1"/>
      <c r="G75" s="1"/>
      <c r="H75" s="1"/>
    </row>
    <row r="76" spans="1:8" ht="15.75" customHeight="1">
      <c r="A76" s="1"/>
      <c r="B76" s="1"/>
      <c r="C76" s="1"/>
      <c r="D76" s="1"/>
      <c r="E76" s="1"/>
      <c r="F76" s="1"/>
      <c r="G76" s="1"/>
      <c r="H76" s="1"/>
    </row>
    <row r="77" spans="1:8" ht="15.75" customHeight="1">
      <c r="A77" s="1"/>
      <c r="B77" s="1"/>
      <c r="C77" s="1"/>
      <c r="D77" s="1"/>
      <c r="E77" s="1"/>
      <c r="F77" s="1"/>
      <c r="G77" s="1"/>
      <c r="H77" s="1"/>
    </row>
    <row r="78" spans="1:8" ht="15.75" customHeight="1">
      <c r="A78" s="1"/>
      <c r="B78" s="1"/>
      <c r="C78" s="1"/>
      <c r="D78" s="1"/>
      <c r="E78" s="1"/>
      <c r="F78" s="1"/>
      <c r="G78" s="1"/>
      <c r="H78" s="1"/>
    </row>
    <row r="79" spans="1:8" ht="15.75" customHeight="1">
      <c r="A79" s="1"/>
      <c r="B79" s="1"/>
      <c r="C79" s="1"/>
      <c r="D79" s="1"/>
      <c r="E79" s="1"/>
      <c r="F79" s="1"/>
      <c r="G79" s="1"/>
      <c r="H79" s="1"/>
    </row>
    <row r="80" spans="1:8" ht="15.75" customHeight="1">
      <c r="A80" s="1"/>
      <c r="B80" s="1"/>
      <c r="C80" s="1"/>
      <c r="D80" s="1"/>
      <c r="E80" s="1"/>
      <c r="F80" s="1"/>
      <c r="G80" s="1"/>
      <c r="H80" s="1"/>
    </row>
    <row r="81" spans="1:8" ht="15.75" customHeight="1">
      <c r="A81" s="1"/>
      <c r="B81" s="1"/>
      <c r="C81" s="1"/>
      <c r="D81" s="1"/>
      <c r="E81" s="1"/>
      <c r="F81" s="1"/>
      <c r="G81" s="1"/>
      <c r="H81" s="1"/>
    </row>
    <row r="82" spans="1:8" ht="15.75" customHeight="1">
      <c r="A82" s="1"/>
      <c r="B82" s="1"/>
      <c r="C82" s="1"/>
      <c r="D82" s="1"/>
      <c r="E82" s="1"/>
      <c r="F82" s="1"/>
      <c r="G82" s="1"/>
      <c r="H82" s="1"/>
    </row>
    <row r="83" spans="1:8" ht="15.75" customHeight="1">
      <c r="A83" s="1"/>
      <c r="B83" s="1"/>
      <c r="C83" s="1"/>
      <c r="D83" s="1"/>
      <c r="E83" s="1"/>
      <c r="F83" s="1"/>
      <c r="G83" s="1"/>
      <c r="H83" s="1"/>
    </row>
    <row r="84" spans="1:8" ht="15.75" customHeight="1">
      <c r="A84" s="1"/>
      <c r="B84" s="1"/>
      <c r="C84" s="1"/>
      <c r="D84" s="1"/>
      <c r="E84" s="1"/>
      <c r="F84" s="1"/>
      <c r="G84" s="1"/>
      <c r="H84" s="1"/>
    </row>
    <row r="85" spans="1:8" ht="15.75" customHeight="1">
      <c r="A85" s="1"/>
      <c r="B85" s="1"/>
      <c r="C85" s="1"/>
      <c r="D85" s="1"/>
      <c r="E85" s="1"/>
      <c r="F85" s="1"/>
      <c r="G85" s="1"/>
      <c r="H85" s="1"/>
    </row>
    <row r="86" spans="1:8" ht="15.75" customHeight="1">
      <c r="A86" s="1"/>
      <c r="B86" s="1"/>
      <c r="C86" s="1"/>
      <c r="D86" s="1"/>
      <c r="E86" s="1"/>
      <c r="F86" s="1"/>
      <c r="G86" s="1"/>
      <c r="H86" s="1"/>
    </row>
    <row r="87" spans="1:8" ht="15.75" customHeight="1">
      <c r="A87" s="1"/>
      <c r="B87" s="1"/>
      <c r="C87" s="1"/>
      <c r="D87" s="1"/>
      <c r="E87" s="1"/>
      <c r="F87" s="1"/>
      <c r="G87" s="1"/>
      <c r="H87" s="1"/>
    </row>
    <row r="88" spans="1:8" ht="15.75" customHeight="1">
      <c r="A88" s="1"/>
      <c r="B88" s="1"/>
      <c r="C88" s="1"/>
      <c r="D88" s="1"/>
      <c r="E88" s="1"/>
      <c r="F88" s="1"/>
      <c r="G88" s="1"/>
      <c r="H88" s="1"/>
    </row>
    <row r="89" spans="1:8" ht="15.75" customHeight="1">
      <c r="A89" s="1"/>
      <c r="B89" s="1"/>
      <c r="C89" s="1"/>
      <c r="D89" s="1"/>
      <c r="E89" s="1"/>
      <c r="F89" s="1"/>
      <c r="G89" s="1"/>
      <c r="H89" s="1"/>
    </row>
    <row r="90" spans="1:8" ht="15.75" customHeight="1">
      <c r="A90" s="1"/>
      <c r="B90" s="1"/>
      <c r="C90" s="1"/>
      <c r="D90" s="1"/>
      <c r="E90" s="1"/>
      <c r="F90" s="1"/>
      <c r="G90" s="1"/>
      <c r="H90" s="1"/>
    </row>
    <row r="91" spans="1:8" ht="15.75" customHeight="1">
      <c r="A91" s="1"/>
      <c r="B91" s="1"/>
      <c r="C91" s="1"/>
      <c r="D91" s="1"/>
      <c r="E91" s="1"/>
      <c r="F91" s="1"/>
      <c r="G91" s="1"/>
      <c r="H91" s="1"/>
    </row>
    <row r="92" spans="1:8" ht="15.75" customHeight="1">
      <c r="A92" s="1"/>
      <c r="B92" s="1"/>
      <c r="C92" s="1"/>
      <c r="D92" s="1"/>
      <c r="E92" s="1"/>
      <c r="F92" s="1"/>
      <c r="G92" s="1"/>
      <c r="H92" s="1"/>
    </row>
    <row r="93" spans="1:8" ht="15.75" customHeight="1">
      <c r="A93" s="1"/>
      <c r="B93" s="1"/>
      <c r="C93" s="1"/>
      <c r="D93" s="1"/>
      <c r="E93" s="1"/>
      <c r="F93" s="1"/>
      <c r="G93" s="1"/>
      <c r="H93" s="1"/>
    </row>
    <row r="94" spans="1:8" ht="15.75" customHeight="1">
      <c r="A94" s="1"/>
      <c r="B94" s="1"/>
      <c r="C94" s="1"/>
      <c r="D94" s="1"/>
      <c r="E94" s="1"/>
      <c r="F94" s="1"/>
      <c r="G94" s="1"/>
      <c r="H94" s="1"/>
    </row>
    <row r="95" spans="1:8" ht="15.75" customHeight="1">
      <c r="A95" s="1"/>
      <c r="B95" s="1"/>
      <c r="C95" s="1"/>
      <c r="D95" s="1"/>
      <c r="E95" s="1"/>
      <c r="F95" s="1"/>
      <c r="G95" s="1"/>
      <c r="H95" s="1"/>
    </row>
    <row r="96" spans="1:8" ht="15.75" customHeight="1">
      <c r="A96" s="1"/>
      <c r="B96" s="1"/>
      <c r="C96" s="1"/>
      <c r="D96" s="1"/>
      <c r="E96" s="1"/>
      <c r="F96" s="1"/>
      <c r="G96" s="1"/>
      <c r="H96" s="1"/>
    </row>
    <row r="97" spans="1:8" ht="15.75" customHeight="1">
      <c r="A97" s="1"/>
      <c r="B97" s="1"/>
      <c r="C97" s="1"/>
      <c r="D97" s="1"/>
      <c r="E97" s="1"/>
      <c r="F97" s="1"/>
      <c r="G97" s="1"/>
      <c r="H97" s="1"/>
    </row>
    <row r="98" spans="1:8" ht="15.75" customHeight="1">
      <c r="A98" s="1"/>
      <c r="B98" s="1"/>
      <c r="C98" s="1"/>
      <c r="D98" s="1"/>
      <c r="E98" s="1"/>
      <c r="F98" s="1"/>
      <c r="G98" s="1"/>
      <c r="H98" s="1"/>
    </row>
    <row r="99" spans="1:8" ht="15.75" customHeight="1">
      <c r="A99" s="1"/>
      <c r="B99" s="1"/>
      <c r="C99" s="1"/>
      <c r="D99" s="1"/>
      <c r="E99" s="1"/>
      <c r="F99" s="1"/>
      <c r="G99" s="1"/>
      <c r="H99" s="1"/>
    </row>
    <row r="100" spans="1:8" ht="15.75" customHeight="1">
      <c r="A100" s="1"/>
      <c r="B100" s="1"/>
      <c r="C100" s="1"/>
      <c r="D100" s="1"/>
      <c r="E100" s="1"/>
      <c r="F100" s="1"/>
      <c r="G100" s="1"/>
      <c r="H100" s="1"/>
    </row>
  </sheetData>
  <mergeCells count="8">
    <mergeCell ref="A27:H27"/>
    <mergeCell ref="A37:H37"/>
    <mergeCell ref="A1:H1"/>
    <mergeCell ref="A2:H2"/>
    <mergeCell ref="A4:H4"/>
    <mergeCell ref="A15:H15"/>
    <mergeCell ref="A16:C16"/>
    <mergeCell ref="E16:G16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AMADA BM1 -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Divyendu Tiwari</cp:lastModifiedBy>
  <cp:revision>0</cp:revision>
  <dcterms:created xsi:type="dcterms:W3CDTF">2026-06-09T06:11:58Z</dcterms:created>
  <dcterms:modified xsi:type="dcterms:W3CDTF">2026-06-15T05:09:19Z</dcterms:modified>
  <dc:language>en-US</dc:language>
</cp:coreProperties>
</file>